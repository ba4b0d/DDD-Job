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our 3d job\"/>
    </mc:Choice>
  </mc:AlternateContent>
  <xr:revisionPtr revIDLastSave="0" documentId="13_ncr:1_{9E32D697-7F9F-4802-8669-866115C2215E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ettings" sheetId="1" r:id="rId1"/>
    <sheet name="Materials" sheetId="4" r:id="rId2"/>
    <sheet name="Jobs" sheetId="2" r:id="rId3"/>
    <sheet name="final" sheetId="5" r:id="rId4"/>
    <sheet name="Chart" sheetId="3" r:id="rId5"/>
  </sheets>
  <definedNames>
    <definedName name="ExternalData_1" localSheetId="3" hidden="1">final!$A$1:$E$182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5" i="2" l="1"/>
  <c r="O95" i="2"/>
  <c r="M96" i="2"/>
  <c r="O96" i="2"/>
  <c r="G69" i="2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22" i="5"/>
  <c r="A123" i="5"/>
  <c r="A124" i="5"/>
  <c r="A125" i="5"/>
  <c r="A126" i="5"/>
  <c r="A127" i="5"/>
  <c r="A128" i="5"/>
  <c r="A129" i="5"/>
  <c r="A130" i="5"/>
  <c r="A131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Q174" i="2" l="1"/>
  <c r="Q173" i="2"/>
  <c r="Q172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33" i="2"/>
  <c r="Q134" i="2"/>
  <c r="Q135" i="2"/>
  <c r="Q136" i="2"/>
  <c r="Q137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09" i="2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Q98" i="2"/>
  <c r="Q99" i="2"/>
  <c r="Q100" i="2"/>
  <c r="Q101" i="2"/>
  <c r="Q102" i="2"/>
  <c r="Q103" i="2"/>
  <c r="Q104" i="2"/>
  <c r="Q105" i="2"/>
  <c r="Q106" i="2"/>
  <c r="Q107" i="2"/>
  <c r="Q108" i="2"/>
  <c r="Q94" i="2"/>
  <c r="Q95" i="2"/>
  <c r="Q96" i="2"/>
  <c r="Q97" i="2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A84" i="5"/>
  <c r="A85" i="5"/>
  <c r="A86" i="5"/>
  <c r="A87" i="5"/>
  <c r="A88" i="5"/>
  <c r="A89" i="5"/>
  <c r="A83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66" i="2"/>
  <c r="Q65" i="2"/>
  <c r="Q64" i="2"/>
  <c r="B65" i="5"/>
  <c r="B66" i="5"/>
  <c r="B67" i="5"/>
  <c r="B68" i="5"/>
  <c r="B69" i="5"/>
  <c r="B70" i="5"/>
  <c r="B57" i="5"/>
  <c r="B58" i="5"/>
  <c r="B59" i="5"/>
  <c r="B60" i="5"/>
  <c r="B61" i="5"/>
  <c r="B62" i="5"/>
  <c r="B63" i="5"/>
  <c r="B64" i="5"/>
  <c r="Q53" i="2"/>
  <c r="Q54" i="2"/>
  <c r="Q55" i="2"/>
  <c r="Q56" i="2"/>
  <c r="Q57" i="2"/>
  <c r="Q58" i="2"/>
  <c r="Q59" i="2"/>
  <c r="Q60" i="2"/>
  <c r="Q61" i="2"/>
  <c r="Q62" i="2"/>
  <c r="Q63" i="2"/>
  <c r="A52" i="5"/>
  <c r="A53" i="5"/>
  <c r="A54" i="5"/>
  <c r="A55" i="5"/>
  <c r="A56" i="5"/>
  <c r="B47" i="5"/>
  <c r="B48" i="5"/>
  <c r="B49" i="5"/>
  <c r="B50" i="5"/>
  <c r="B51" i="5"/>
  <c r="B52" i="5"/>
  <c r="B53" i="5"/>
  <c r="B54" i="5"/>
  <c r="B55" i="5"/>
  <c r="B56" i="5"/>
  <c r="Q52" i="2"/>
  <c r="Q51" i="2"/>
  <c r="A2" i="5"/>
  <c r="B2" i="5"/>
  <c r="A3" i="5"/>
  <c r="B3" i="5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A30" i="5"/>
  <c r="B30" i="5"/>
  <c r="A31" i="5"/>
  <c r="B31" i="5"/>
  <c r="A32" i="5"/>
  <c r="B32" i="5"/>
  <c r="A33" i="5"/>
  <c r="B33" i="5"/>
  <c r="A34" i="5"/>
  <c r="B34" i="5"/>
  <c r="A35" i="5"/>
  <c r="B35" i="5"/>
  <c r="A36" i="5"/>
  <c r="B36" i="5"/>
  <c r="A37" i="5"/>
  <c r="B37" i="5"/>
  <c r="A38" i="5"/>
  <c r="B38" i="5"/>
  <c r="A39" i="5"/>
  <c r="B39" i="5"/>
  <c r="A40" i="5"/>
  <c r="B40" i="5"/>
  <c r="A41" i="5"/>
  <c r="B41" i="5"/>
  <c r="A42" i="5"/>
  <c r="B42" i="5"/>
  <c r="A43" i="5"/>
  <c r="B43" i="5"/>
  <c r="A44" i="5"/>
  <c r="B44" i="5"/>
  <c r="A45" i="5"/>
  <c r="B45" i="5"/>
  <c r="A46" i="5"/>
  <c r="B46" i="5"/>
  <c r="A47" i="5"/>
  <c r="A48" i="5"/>
  <c r="A49" i="5"/>
  <c r="A50" i="5"/>
  <c r="A51" i="5"/>
  <c r="Q49" i="2"/>
  <c r="Q50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D4" i="1"/>
  <c r="M174" i="2"/>
  <c r="P173" i="2"/>
  <c r="M153" i="2"/>
  <c r="M161" i="2"/>
  <c r="M169" i="2"/>
  <c r="O153" i="2"/>
  <c r="O161" i="2"/>
  <c r="O169" i="2"/>
  <c r="P157" i="2"/>
  <c r="P165" i="2"/>
  <c r="M144" i="2"/>
  <c r="N144" i="2"/>
  <c r="O144" i="2"/>
  <c r="P144" i="2"/>
  <c r="O137" i="2"/>
  <c r="M115" i="2"/>
  <c r="M123" i="2"/>
  <c r="M131" i="2"/>
  <c r="O117" i="2"/>
  <c r="O125" i="2"/>
  <c r="P110" i="2"/>
  <c r="P118" i="2"/>
  <c r="P126" i="2"/>
  <c r="O109" i="2"/>
  <c r="M102" i="2"/>
  <c r="N99" i="2"/>
  <c r="N107" i="2"/>
  <c r="O104" i="2"/>
  <c r="P101" i="2"/>
  <c r="P95" i="2"/>
  <c r="M77" i="2"/>
  <c r="M85" i="2"/>
  <c r="M93" i="2"/>
  <c r="N73" i="2"/>
  <c r="N81" i="2"/>
  <c r="N90" i="2"/>
  <c r="O70" i="2"/>
  <c r="O78" i="2"/>
  <c r="O87" i="2"/>
  <c r="P68" i="2"/>
  <c r="P75" i="2"/>
  <c r="P84" i="2"/>
  <c r="P92" i="2"/>
  <c r="O66" i="2"/>
  <c r="M64" i="2"/>
  <c r="P54" i="2"/>
  <c r="N174" i="2"/>
  <c r="M154" i="2"/>
  <c r="M162" i="2"/>
  <c r="M170" i="2"/>
  <c r="N158" i="2"/>
  <c r="N166" i="2"/>
  <c r="O154" i="2"/>
  <c r="O162" i="2"/>
  <c r="O170" i="2"/>
  <c r="P158" i="2"/>
  <c r="P166" i="2"/>
  <c r="M138" i="2"/>
  <c r="M145" i="2"/>
  <c r="N138" i="2"/>
  <c r="O138" i="2"/>
  <c r="O145" i="2"/>
  <c r="P138" i="2"/>
  <c r="P145" i="2"/>
  <c r="P133" i="2"/>
  <c r="M116" i="2"/>
  <c r="M124" i="2"/>
  <c r="M132" i="2"/>
  <c r="O110" i="2"/>
  <c r="O118" i="2"/>
  <c r="O126" i="2"/>
  <c r="P111" i="2"/>
  <c r="P119" i="2"/>
  <c r="P127" i="2"/>
  <c r="P109" i="2"/>
  <c r="M103" i="2"/>
  <c r="N100" i="2"/>
  <c r="N108" i="2"/>
  <c r="O105" i="2"/>
  <c r="P102" i="2"/>
  <c r="P96" i="2"/>
  <c r="M70" i="2"/>
  <c r="M78" i="2"/>
  <c r="M86" i="2"/>
  <c r="N67" i="2"/>
  <c r="N74" i="2"/>
  <c r="N83" i="2"/>
  <c r="N91" i="2"/>
  <c r="O71" i="2"/>
  <c r="O79" i="2"/>
  <c r="O88" i="2"/>
  <c r="P69" i="2"/>
  <c r="P76" i="2"/>
  <c r="P85" i="2"/>
  <c r="P93" i="2"/>
  <c r="N66" i="2"/>
  <c r="N64" i="2"/>
  <c r="O56" i="2"/>
  <c r="M58" i="2"/>
  <c r="P59" i="2"/>
  <c r="N61" i="2"/>
  <c r="M51" i="2"/>
  <c r="M49" i="2"/>
  <c r="N49" i="2"/>
  <c r="M42" i="2"/>
  <c r="P11" i="2"/>
  <c r="O26" i="2"/>
  <c r="M2" i="2"/>
  <c r="N20" i="2"/>
  <c r="P35" i="2"/>
  <c r="M25" i="2"/>
  <c r="M44" i="2"/>
  <c r="O174" i="2"/>
  <c r="M172" i="2"/>
  <c r="M155" i="2"/>
  <c r="M163" i="2"/>
  <c r="M171" i="2"/>
  <c r="N159" i="2"/>
  <c r="N167" i="2"/>
  <c r="O155" i="2"/>
  <c r="O163" i="2"/>
  <c r="O171" i="2"/>
  <c r="P159" i="2"/>
  <c r="P167" i="2"/>
  <c r="M139" i="2"/>
  <c r="M146" i="2"/>
  <c r="O139" i="2"/>
  <c r="O146" i="2"/>
  <c r="P139" i="2"/>
  <c r="P146" i="2"/>
  <c r="M133" i="2"/>
  <c r="P134" i="2"/>
  <c r="M117" i="2"/>
  <c r="M125" i="2"/>
  <c r="O111" i="2"/>
  <c r="O119" i="2"/>
  <c r="O127" i="2"/>
  <c r="P112" i="2"/>
  <c r="P120" i="2"/>
  <c r="P128" i="2"/>
  <c r="M104" i="2"/>
  <c r="N101" i="2"/>
  <c r="O98" i="2"/>
  <c r="O106" i="2"/>
  <c r="P103" i="2"/>
  <c r="N97" i="2"/>
  <c r="P97" i="2"/>
  <c r="M71" i="2"/>
  <c r="M79" i="2"/>
  <c r="M87" i="2"/>
  <c r="N68" i="2"/>
  <c r="N75" i="2"/>
  <c r="N84" i="2"/>
  <c r="N92" i="2"/>
  <c r="O72" i="2"/>
  <c r="O80" i="2"/>
  <c r="O89" i="2"/>
  <c r="P77" i="2"/>
  <c r="P86" i="2"/>
  <c r="M66" i="2"/>
  <c r="O64" i="2"/>
  <c r="M55" i="2"/>
  <c r="P56" i="2"/>
  <c r="N58" i="2"/>
  <c r="O61" i="2"/>
  <c r="M63" i="2"/>
  <c r="M50" i="2"/>
  <c r="N3" i="2"/>
  <c r="P19" i="2"/>
  <c r="O34" i="2"/>
  <c r="M11" i="2"/>
  <c r="N27" i="2"/>
  <c r="P43" i="2"/>
  <c r="N33" i="2"/>
  <c r="N5" i="2"/>
  <c r="P21" i="2"/>
  <c r="O36" i="2"/>
  <c r="M29" i="2"/>
  <c r="N45" i="2"/>
  <c r="O14" i="2"/>
  <c r="N7" i="2"/>
  <c r="P23" i="2"/>
  <c r="O33" i="2"/>
  <c r="N16" i="2"/>
  <c r="P31" i="2"/>
  <c r="O47" i="2"/>
  <c r="M32" i="2"/>
  <c r="O17" i="2"/>
  <c r="O2" i="2"/>
  <c r="P34" i="2"/>
  <c r="M27" i="2"/>
  <c r="M4" i="2"/>
  <c r="P36" i="2"/>
  <c r="M45" i="2"/>
  <c r="O29" i="2"/>
  <c r="P38" i="2"/>
  <c r="M48" i="2"/>
  <c r="M173" i="2"/>
  <c r="M166" i="2"/>
  <c r="O158" i="2"/>
  <c r="O166" i="2"/>
  <c r="P154" i="2"/>
  <c r="P162" i="2"/>
  <c r="P170" i="2"/>
  <c r="M149" i="2"/>
  <c r="O149" i="2"/>
  <c r="P149" i="2"/>
  <c r="M136" i="2"/>
  <c r="O134" i="2"/>
  <c r="P174" i="2"/>
  <c r="N172" i="2"/>
  <c r="M156" i="2"/>
  <c r="M164" i="2"/>
  <c r="N152" i="2"/>
  <c r="N160" i="2"/>
  <c r="N168" i="2"/>
  <c r="O156" i="2"/>
  <c r="O164" i="2"/>
  <c r="P152" i="2"/>
  <c r="P160" i="2"/>
  <c r="P168" i="2"/>
  <c r="M140" i="2"/>
  <c r="M147" i="2"/>
  <c r="N140" i="2"/>
  <c r="N147" i="2"/>
  <c r="O140" i="2"/>
  <c r="O147" i="2"/>
  <c r="P140" i="2"/>
  <c r="P147" i="2"/>
  <c r="M134" i="2"/>
  <c r="N137" i="2"/>
  <c r="P135" i="2"/>
  <c r="M110" i="2"/>
  <c r="M118" i="2"/>
  <c r="M126" i="2"/>
  <c r="N111" i="2"/>
  <c r="N119" i="2"/>
  <c r="N127" i="2"/>
  <c r="O112" i="2"/>
  <c r="O120" i="2"/>
  <c r="O128" i="2"/>
  <c r="P113" i="2"/>
  <c r="P121" i="2"/>
  <c r="P129" i="2"/>
  <c r="M105" i="2"/>
  <c r="N102" i="2"/>
  <c r="O99" i="2"/>
  <c r="O107" i="2"/>
  <c r="P104" i="2"/>
  <c r="M94" i="2"/>
  <c r="O94" i="2"/>
  <c r="M72" i="2"/>
  <c r="M80" i="2"/>
  <c r="M88" i="2"/>
  <c r="O73" i="2"/>
  <c r="O81" i="2"/>
  <c r="O90" i="2"/>
  <c r="P70" i="2"/>
  <c r="P78" i="2"/>
  <c r="P87" i="2"/>
  <c r="M65" i="2"/>
  <c r="P64" i="2"/>
  <c r="M53" i="2"/>
  <c r="N55" i="2"/>
  <c r="O58" i="2"/>
  <c r="M60" i="2"/>
  <c r="P61" i="2"/>
  <c r="N63" i="2"/>
  <c r="M52" i="2"/>
  <c r="N51" i="2"/>
  <c r="O49" i="2"/>
  <c r="N11" i="2"/>
  <c r="P26" i="2"/>
  <c r="O42" i="2"/>
  <c r="M19" i="2"/>
  <c r="N35" i="2"/>
  <c r="O4" i="2"/>
  <c r="P33" i="2"/>
  <c r="N13" i="2"/>
  <c r="P28" i="2"/>
  <c r="O44" i="2"/>
  <c r="M37" i="2"/>
  <c r="P6" i="2"/>
  <c r="O22" i="2"/>
  <c r="N15" i="2"/>
  <c r="P30" i="2"/>
  <c r="M7" i="2"/>
  <c r="N24" i="2"/>
  <c r="P39" i="2"/>
  <c r="M17" i="2"/>
  <c r="M40" i="2"/>
  <c r="P9" i="2"/>
  <c r="O25" i="2"/>
  <c r="M26" i="2"/>
  <c r="O46" i="2"/>
  <c r="N43" i="2"/>
  <c r="O12" i="2"/>
  <c r="N21" i="2"/>
  <c r="M33" i="2"/>
  <c r="P14" i="2"/>
  <c r="M6" i="2"/>
  <c r="M15" i="2"/>
  <c r="P47" i="2"/>
  <c r="P17" i="2"/>
  <c r="O32" i="2"/>
  <c r="P172" i="2"/>
  <c r="M158" i="2"/>
  <c r="N154" i="2"/>
  <c r="N170" i="2"/>
  <c r="O172" i="2"/>
  <c r="M157" i="2"/>
  <c r="M165" i="2"/>
  <c r="O157" i="2"/>
  <c r="O165" i="2"/>
  <c r="P153" i="2"/>
  <c r="P161" i="2"/>
  <c r="P169" i="2"/>
  <c r="M141" i="2"/>
  <c r="M148" i="2"/>
  <c r="O141" i="2"/>
  <c r="O148" i="2"/>
  <c r="P141" i="2"/>
  <c r="P148" i="2"/>
  <c r="M135" i="2"/>
  <c r="O133" i="2"/>
  <c r="P136" i="2"/>
  <c r="M111" i="2"/>
  <c r="M119" i="2"/>
  <c r="M127" i="2"/>
  <c r="O113" i="2"/>
  <c r="O121" i="2"/>
  <c r="O129" i="2"/>
  <c r="P114" i="2"/>
  <c r="P122" i="2"/>
  <c r="P130" i="2"/>
  <c r="M98" i="2"/>
  <c r="M106" i="2"/>
  <c r="N103" i="2"/>
  <c r="O100" i="2"/>
  <c r="O108" i="2"/>
  <c r="P105" i="2"/>
  <c r="M73" i="2"/>
  <c r="M81" i="2"/>
  <c r="M89" i="2"/>
  <c r="N77" i="2"/>
  <c r="N86" i="2"/>
  <c r="O67" i="2"/>
  <c r="O74" i="2"/>
  <c r="O83" i="2"/>
  <c r="O91" i="2"/>
  <c r="P71" i="2"/>
  <c r="P79" i="2"/>
  <c r="P88" i="2"/>
  <c r="N65" i="2"/>
  <c r="N53" i="2"/>
  <c r="O55" i="2"/>
  <c r="M57" i="2"/>
  <c r="P58" i="2"/>
  <c r="N60" i="2"/>
  <c r="O63" i="2"/>
  <c r="N52" i="2"/>
  <c r="O50" i="2"/>
  <c r="N173" i="2"/>
  <c r="M159" i="2"/>
  <c r="M167" i="2"/>
  <c r="N155" i="2"/>
  <c r="N163" i="2"/>
  <c r="N171" i="2"/>
  <c r="O159" i="2"/>
  <c r="O167" i="2"/>
  <c r="P155" i="2"/>
  <c r="P163" i="2"/>
  <c r="P171" i="2"/>
  <c r="M142" i="2"/>
  <c r="M150" i="2"/>
  <c r="O142" i="2"/>
  <c r="O150" i="2"/>
  <c r="P142" i="2"/>
  <c r="P150" i="2"/>
  <c r="M137" i="2"/>
  <c r="O135" i="2"/>
  <c r="M113" i="2"/>
  <c r="M121" i="2"/>
  <c r="M129" i="2"/>
  <c r="N122" i="2"/>
  <c r="N130" i="2"/>
  <c r="O115" i="2"/>
  <c r="O123" i="2"/>
  <c r="O131" i="2"/>
  <c r="P116" i="2"/>
  <c r="P124" i="2"/>
  <c r="P132" i="2"/>
  <c r="M109" i="2"/>
  <c r="M100" i="2"/>
  <c r="M108" i="2"/>
  <c r="N105" i="2"/>
  <c r="O102" i="2"/>
  <c r="P99" i="2"/>
  <c r="P107" i="2"/>
  <c r="M97" i="2"/>
  <c r="O97" i="2"/>
  <c r="M68" i="2"/>
  <c r="M75" i="2"/>
  <c r="M83" i="2"/>
  <c r="M91" i="2"/>
  <c r="N71" i="2"/>
  <c r="N79" i="2"/>
  <c r="N88" i="2"/>
  <c r="O173" i="2"/>
  <c r="M152" i="2"/>
  <c r="M160" i="2"/>
  <c r="M168" i="2"/>
  <c r="P156" i="2"/>
  <c r="P151" i="2"/>
  <c r="N115" i="2"/>
  <c r="O124" i="2"/>
  <c r="O101" i="2"/>
  <c r="M69" i="2"/>
  <c r="N72" i="2"/>
  <c r="O75" i="2"/>
  <c r="P67" i="2"/>
  <c r="P90" i="2"/>
  <c r="O65" i="2"/>
  <c r="O54" i="2"/>
  <c r="O57" i="2"/>
  <c r="O60" i="2"/>
  <c r="P62" i="2"/>
  <c r="P52" i="2"/>
  <c r="P50" i="2"/>
  <c r="O11" i="2"/>
  <c r="N4" i="2"/>
  <c r="O35" i="2"/>
  <c r="N44" i="2"/>
  <c r="N41" i="2"/>
  <c r="N29" i="2"/>
  <c r="O45" i="2"/>
  <c r="M46" i="2"/>
  <c r="O15" i="2"/>
  <c r="O31" i="2"/>
  <c r="O9" i="2"/>
  <c r="O48" i="2"/>
  <c r="P81" i="2"/>
  <c r="P27" i="2"/>
  <c r="M22" i="2"/>
  <c r="P2" i="2"/>
  <c r="M130" i="2"/>
  <c r="P83" i="2"/>
  <c r="M54" i="2"/>
  <c r="P42" i="2"/>
  <c r="M30" i="2"/>
  <c r="P40" i="2"/>
  <c r="O122" i="2"/>
  <c r="M67" i="2"/>
  <c r="N54" i="2"/>
  <c r="P49" i="2"/>
  <c r="O27" i="2"/>
  <c r="N22" i="2"/>
  <c r="N8" i="2"/>
  <c r="P164" i="2"/>
  <c r="M143" i="2"/>
  <c r="N133" i="2"/>
  <c r="M112" i="2"/>
  <c r="N121" i="2"/>
  <c r="O130" i="2"/>
  <c r="O103" i="2"/>
  <c r="M74" i="2"/>
  <c r="N78" i="2"/>
  <c r="O76" i="2"/>
  <c r="P72" i="2"/>
  <c r="P91" i="2"/>
  <c r="P65" i="2"/>
  <c r="P57" i="2"/>
  <c r="P60" i="2"/>
  <c r="M34" i="2"/>
  <c r="O19" i="2"/>
  <c r="N12" i="2"/>
  <c r="O43" i="2"/>
  <c r="P5" i="2"/>
  <c r="P41" i="2"/>
  <c r="O38" i="2"/>
  <c r="O23" i="2"/>
  <c r="O39" i="2"/>
  <c r="O40" i="2"/>
  <c r="N34" i="2"/>
  <c r="M20" i="2"/>
  <c r="P16" i="2"/>
  <c r="N40" i="2"/>
  <c r="N98" i="2"/>
  <c r="O86" i="2"/>
  <c r="P3" i="2"/>
  <c r="N6" i="2"/>
  <c r="O8" i="2"/>
  <c r="O151" i="2"/>
  <c r="O69" i="2"/>
  <c r="M35" i="2"/>
  <c r="P46" i="2"/>
  <c r="N113" i="2"/>
  <c r="N106" i="2"/>
  <c r="P89" i="2"/>
  <c r="N57" i="2"/>
  <c r="M43" i="2"/>
  <c r="O37" i="2"/>
  <c r="O24" i="2"/>
  <c r="M151" i="2"/>
  <c r="O136" i="2"/>
  <c r="M114" i="2"/>
  <c r="O132" i="2"/>
  <c r="M99" i="2"/>
  <c r="P98" i="2"/>
  <c r="M76" i="2"/>
  <c r="O77" i="2"/>
  <c r="P73" i="2"/>
  <c r="O53" i="2"/>
  <c r="P55" i="2"/>
  <c r="P63" i="2"/>
  <c r="N26" i="2"/>
  <c r="M41" i="2"/>
  <c r="P4" i="2"/>
  <c r="M12" i="2"/>
  <c r="P13" i="2"/>
  <c r="M5" i="2"/>
  <c r="P22" i="2"/>
  <c r="N2" i="2"/>
  <c r="N38" i="2"/>
  <c r="O30" i="2"/>
  <c r="P8" i="2"/>
  <c r="P10" i="2"/>
  <c r="N32" i="2"/>
  <c r="O51" i="2"/>
  <c r="P12" i="2"/>
  <c r="M13" i="2"/>
  <c r="O18" i="2"/>
  <c r="N56" i="2"/>
  <c r="O13" i="2"/>
  <c r="M39" i="2"/>
  <c r="M92" i="2"/>
  <c r="N28" i="2"/>
  <c r="O21" i="2"/>
  <c r="M47" i="2"/>
  <c r="O168" i="2"/>
  <c r="P131" i="2"/>
  <c r="N70" i="2"/>
  <c r="O93" i="2"/>
  <c r="P66" i="2"/>
  <c r="O52" i="2"/>
  <c r="M18" i="2"/>
  <c r="N36" i="2"/>
  <c r="M38" i="2"/>
  <c r="N9" i="2"/>
  <c r="N156" i="2"/>
  <c r="N143" i="2"/>
  <c r="P137" i="2"/>
  <c r="M120" i="2"/>
  <c r="N129" i="2"/>
  <c r="P115" i="2"/>
  <c r="M101" i="2"/>
  <c r="P100" i="2"/>
  <c r="M82" i="2"/>
  <c r="N87" i="2"/>
  <c r="O84" i="2"/>
  <c r="P74" i="2"/>
  <c r="P53" i="2"/>
  <c r="M61" i="2"/>
  <c r="P18" i="2"/>
  <c r="P44" i="2"/>
  <c r="P29" i="2"/>
  <c r="M23" i="2"/>
  <c r="M9" i="2"/>
  <c r="P108" i="2"/>
  <c r="O68" i="2"/>
  <c r="P51" i="2"/>
  <c r="M36" i="2"/>
  <c r="P15" i="2"/>
  <c r="P32" i="2"/>
  <c r="O116" i="2"/>
  <c r="O59" i="2"/>
  <c r="M10" i="2"/>
  <c r="O6" i="2"/>
  <c r="M24" i="2"/>
  <c r="M122" i="2"/>
  <c r="P117" i="2"/>
  <c r="M107" i="2"/>
  <c r="P106" i="2"/>
  <c r="P94" i="2"/>
  <c r="M84" i="2"/>
  <c r="N89" i="2"/>
  <c r="O85" i="2"/>
  <c r="P80" i="2"/>
  <c r="M56" i="2"/>
  <c r="M59" i="2"/>
  <c r="N42" i="2"/>
  <c r="O10" i="2"/>
  <c r="P20" i="2"/>
  <c r="M28" i="2"/>
  <c r="O5" i="2"/>
  <c r="M21" i="2"/>
  <c r="P37" i="2"/>
  <c r="M14" i="2"/>
  <c r="P7" i="2"/>
  <c r="M31" i="2"/>
  <c r="P24" i="2"/>
  <c r="M8" i="2"/>
  <c r="P25" i="2"/>
  <c r="N18" i="2"/>
  <c r="O152" i="2"/>
  <c r="O143" i="2"/>
  <c r="M128" i="2"/>
  <c r="O114" i="2"/>
  <c r="P123" i="2"/>
  <c r="M90" i="2"/>
  <c r="M62" i="2"/>
  <c r="O41" i="2"/>
  <c r="P45" i="2"/>
  <c r="M16" i="2"/>
  <c r="P125" i="2"/>
  <c r="O92" i="2"/>
  <c r="N62" i="2"/>
  <c r="O20" i="2"/>
  <c r="N14" i="2"/>
  <c r="O16" i="2"/>
  <c r="P143" i="2"/>
  <c r="N109" i="2"/>
  <c r="O62" i="2"/>
  <c r="O3" i="2"/>
  <c r="O28" i="2"/>
  <c r="O7" i="2"/>
  <c r="P48" i="2"/>
  <c r="O160" i="2"/>
  <c r="P82" i="2"/>
  <c r="N82" i="2"/>
  <c r="O82" i="2"/>
  <c r="N145" i="2" l="1"/>
  <c r="R145" i="2" s="1"/>
  <c r="S145" i="2" s="1"/>
  <c r="N114" i="2"/>
  <c r="N117" i="2"/>
  <c r="N125" i="2"/>
  <c r="N139" i="2"/>
  <c r="N48" i="2"/>
  <c r="N136" i="2"/>
  <c r="N23" i="2"/>
  <c r="N31" i="2"/>
  <c r="N10" i="2"/>
  <c r="N131" i="2"/>
  <c r="N157" i="2"/>
  <c r="N165" i="2"/>
  <c r="N135" i="2"/>
  <c r="N146" i="2"/>
  <c r="N153" i="2"/>
  <c r="N142" i="2"/>
  <c r="N19" i="2"/>
  <c r="N161" i="2"/>
  <c r="N150" i="2"/>
  <c r="N39" i="2"/>
  <c r="N110" i="2"/>
  <c r="N118" i="2"/>
  <c r="N126" i="2"/>
  <c r="N69" i="2"/>
  <c r="N76" i="2"/>
  <c r="N85" i="2"/>
  <c r="N93" i="2"/>
  <c r="N169" i="2"/>
  <c r="N17" i="2"/>
  <c r="N37" i="2"/>
  <c r="N30" i="2"/>
  <c r="N164" i="2"/>
  <c r="N151" i="2"/>
  <c r="N134" i="2"/>
  <c r="N116" i="2"/>
  <c r="N124" i="2"/>
  <c r="N132" i="2"/>
  <c r="N162" i="2"/>
  <c r="N149" i="2"/>
  <c r="N141" i="2"/>
  <c r="N148" i="2"/>
  <c r="N112" i="2"/>
  <c r="N120" i="2"/>
  <c r="N128" i="2"/>
  <c r="N47" i="2"/>
  <c r="N25" i="2"/>
  <c r="N46" i="2"/>
  <c r="N123" i="2"/>
  <c r="N94" i="2"/>
  <c r="N80" i="2"/>
  <c r="N59" i="2"/>
  <c r="N104" i="2"/>
  <c r="N95" i="2"/>
  <c r="N96" i="2"/>
  <c r="R156" i="2"/>
  <c r="S156" i="2" s="1"/>
  <c r="R163" i="2"/>
  <c r="S163" i="2" s="1"/>
  <c r="R155" i="2"/>
  <c r="S155" i="2" s="1"/>
  <c r="R170" i="2"/>
  <c r="S170" i="2" s="1"/>
  <c r="R154" i="2"/>
  <c r="S154" i="2" s="1"/>
  <c r="R160" i="2"/>
  <c r="S160" i="2" s="1"/>
  <c r="R152" i="2"/>
  <c r="S152" i="2" s="1"/>
  <c r="R174" i="2"/>
  <c r="S174" i="2" s="1"/>
  <c r="R159" i="2"/>
  <c r="S159" i="2" s="1"/>
  <c r="R166" i="2"/>
  <c r="S166" i="2" s="1"/>
  <c r="R158" i="2"/>
  <c r="S158" i="2" s="1"/>
  <c r="R168" i="2"/>
  <c r="S168" i="2" s="1"/>
  <c r="R173" i="2"/>
  <c r="S173" i="2" s="1"/>
  <c r="R172" i="2"/>
  <c r="S172" i="2" s="1"/>
  <c r="R144" i="2"/>
  <c r="S144" i="2" s="1"/>
  <c r="R167" i="2"/>
  <c r="S167" i="2" s="1"/>
  <c r="R171" i="2"/>
  <c r="S171" i="2" s="1"/>
  <c r="R138" i="2"/>
  <c r="S138" i="2" s="1"/>
  <c r="R147" i="2"/>
  <c r="S147" i="2" s="1"/>
  <c r="R143" i="2"/>
  <c r="S143" i="2" s="1"/>
  <c r="R140" i="2"/>
  <c r="S140" i="2" s="1"/>
  <c r="R137" i="2"/>
  <c r="S137" i="2" s="1"/>
  <c r="R133" i="2"/>
  <c r="S133" i="2" s="1"/>
  <c r="R130" i="2"/>
  <c r="S130" i="2" s="1"/>
  <c r="R122" i="2"/>
  <c r="S122" i="2" s="1"/>
  <c r="R127" i="2"/>
  <c r="S127" i="2" s="1"/>
  <c r="R119" i="2"/>
  <c r="S119" i="2" s="1"/>
  <c r="R115" i="2"/>
  <c r="S115" i="2" s="1"/>
  <c r="R111" i="2"/>
  <c r="S111" i="2" s="1"/>
  <c r="R106" i="2"/>
  <c r="S106" i="2" s="1"/>
  <c r="R129" i="2"/>
  <c r="S129" i="2" s="1"/>
  <c r="R121" i="2"/>
  <c r="S121" i="2" s="1"/>
  <c r="R113" i="2"/>
  <c r="S113" i="2" s="1"/>
  <c r="R102" i="2"/>
  <c r="S102" i="2" s="1"/>
  <c r="R98" i="2"/>
  <c r="S98" i="2" s="1"/>
  <c r="R109" i="2"/>
  <c r="S109" i="2" s="1"/>
  <c r="R107" i="2"/>
  <c r="S107" i="2" s="1"/>
  <c r="R103" i="2"/>
  <c r="S103" i="2" s="1"/>
  <c r="R99" i="2"/>
  <c r="S99" i="2" s="1"/>
  <c r="R105" i="2"/>
  <c r="S105" i="2" s="1"/>
  <c r="R101" i="2"/>
  <c r="S101" i="2" s="1"/>
  <c r="R108" i="2"/>
  <c r="S108" i="2" s="1"/>
  <c r="R100" i="2"/>
  <c r="S100" i="2" s="1"/>
  <c r="R97" i="2"/>
  <c r="S97" i="2" s="1"/>
  <c r="R90" i="2"/>
  <c r="S90" i="2" s="1"/>
  <c r="R82" i="2"/>
  <c r="S82" i="2" s="1"/>
  <c r="R84" i="2"/>
  <c r="S84" i="2" s="1"/>
  <c r="R88" i="2"/>
  <c r="S88" i="2" s="1"/>
  <c r="R81" i="2"/>
  <c r="S81" i="2" s="1"/>
  <c r="R78" i="2"/>
  <c r="S78" i="2" s="1"/>
  <c r="R77" i="2"/>
  <c r="S77" i="2" s="1"/>
  <c r="R75" i="2"/>
  <c r="S75" i="2" s="1"/>
  <c r="R72" i="2"/>
  <c r="S72" i="2" s="1"/>
  <c r="R71" i="2"/>
  <c r="S71" i="2" s="1"/>
  <c r="R70" i="2"/>
  <c r="S70" i="2" s="1"/>
  <c r="R67" i="2"/>
  <c r="S67" i="2" s="1"/>
  <c r="R91" i="2"/>
  <c r="S91" i="2" s="1"/>
  <c r="R79" i="2"/>
  <c r="S79" i="2" s="1"/>
  <c r="R73" i="2"/>
  <c r="S73" i="2" s="1"/>
  <c r="R68" i="2"/>
  <c r="S68" i="2" s="1"/>
  <c r="R89" i="2"/>
  <c r="S89" i="2" s="1"/>
  <c r="R83" i="2"/>
  <c r="S83" i="2" s="1"/>
  <c r="R87" i="2"/>
  <c r="S87" i="2" s="1"/>
  <c r="R92" i="2"/>
  <c r="S92" i="2" s="1"/>
  <c r="R86" i="2"/>
  <c r="S86" i="2" s="1"/>
  <c r="R74" i="2"/>
  <c r="S74" i="2" s="1"/>
  <c r="R66" i="2"/>
  <c r="R65" i="2"/>
  <c r="S65" i="2" s="1"/>
  <c r="R64" i="2"/>
  <c r="S64" i="2" s="1"/>
  <c r="R63" i="2"/>
  <c r="S63" i="2" s="1"/>
  <c r="R62" i="2"/>
  <c r="S62" i="2" s="1"/>
  <c r="R61" i="2"/>
  <c r="S61" i="2" s="1"/>
  <c r="R60" i="2"/>
  <c r="S60" i="2" s="1"/>
  <c r="R56" i="2"/>
  <c r="S56" i="2" s="1"/>
  <c r="R55" i="2"/>
  <c r="S55" i="2" s="1"/>
  <c r="R54" i="2"/>
  <c r="S54" i="2" s="1"/>
  <c r="R58" i="2"/>
  <c r="S58" i="2" s="1"/>
  <c r="R53" i="2"/>
  <c r="S53" i="2" s="1"/>
  <c r="R57" i="2"/>
  <c r="S57" i="2" s="1"/>
  <c r="R52" i="2"/>
  <c r="S52" i="2" s="1"/>
  <c r="R51" i="2"/>
  <c r="S51" i="2" s="1"/>
  <c r="R49" i="2"/>
  <c r="S49" i="2" s="1"/>
  <c r="R18" i="2"/>
  <c r="R34" i="2"/>
  <c r="R8" i="2"/>
  <c r="S8" i="2" s="1"/>
  <c r="R9" i="2"/>
  <c r="R7" i="2"/>
  <c r="R6" i="2"/>
  <c r="S6" i="2" s="1"/>
  <c r="R14" i="2"/>
  <c r="S14" i="2" s="1"/>
  <c r="R24" i="2"/>
  <c r="R29" i="2"/>
  <c r="S29" i="2" s="1"/>
  <c r="R22" i="2"/>
  <c r="R21" i="2"/>
  <c r="R35" i="2"/>
  <c r="S35" i="2" s="1"/>
  <c r="R20" i="2"/>
  <c r="R4" i="2"/>
  <c r="R5" i="2"/>
  <c r="S5" i="2" s="1"/>
  <c r="R26" i="2"/>
  <c r="S26" i="2" s="1"/>
  <c r="R11" i="2"/>
  <c r="S11" i="2" s="1"/>
  <c r="R41" i="2"/>
  <c r="S41" i="2" s="1"/>
  <c r="R13" i="2"/>
  <c r="R16" i="2"/>
  <c r="R12" i="2"/>
  <c r="S12" i="2" s="1"/>
  <c r="R40" i="2"/>
  <c r="R36" i="2"/>
  <c r="S36" i="2" s="1"/>
  <c r="R33" i="2"/>
  <c r="R43" i="2"/>
  <c r="S43" i="2" s="1"/>
  <c r="R27" i="2"/>
  <c r="R42" i="2"/>
  <c r="R45" i="2"/>
  <c r="S45" i="2" s="1"/>
  <c r="R38" i="2"/>
  <c r="S38" i="2" s="1"/>
  <c r="R15" i="2"/>
  <c r="S15" i="2" s="1"/>
  <c r="R32" i="2"/>
  <c r="S32" i="2" s="1"/>
  <c r="R44" i="2"/>
  <c r="S44" i="2" s="1"/>
  <c r="R28" i="2"/>
  <c r="S28" i="2" s="1"/>
  <c r="R2" i="2"/>
  <c r="S2" i="2" s="1"/>
  <c r="N50" i="2"/>
  <c r="M3" i="2"/>
  <c r="R136" i="2" l="1"/>
  <c r="S136" i="2" s="1"/>
  <c r="R114" i="2"/>
  <c r="S114" i="2" s="1"/>
  <c r="R125" i="2"/>
  <c r="S125" i="2" s="1"/>
  <c r="R117" i="2"/>
  <c r="S117" i="2" s="1"/>
  <c r="D117" i="5" s="1"/>
  <c r="R165" i="2"/>
  <c r="S165" i="2" s="1"/>
  <c r="R139" i="2"/>
  <c r="S139" i="2" s="1"/>
  <c r="R48" i="2"/>
  <c r="S48" i="2" s="1"/>
  <c r="R118" i="2"/>
  <c r="S118" i="2" s="1"/>
  <c r="R131" i="2"/>
  <c r="S131" i="2" s="1"/>
  <c r="D131" i="5" s="1"/>
  <c r="R123" i="2"/>
  <c r="S123" i="2" s="1"/>
  <c r="D123" i="5" s="1"/>
  <c r="R76" i="2"/>
  <c r="S76" i="2" s="1"/>
  <c r="R10" i="2"/>
  <c r="R23" i="2"/>
  <c r="R31" i="2"/>
  <c r="R142" i="2"/>
  <c r="S142" i="2" s="1"/>
  <c r="R161" i="2"/>
  <c r="S161" i="2" s="1"/>
  <c r="D163" i="5" s="1"/>
  <c r="R153" i="2"/>
  <c r="S153" i="2" s="1"/>
  <c r="R146" i="2"/>
  <c r="S146" i="2" s="1"/>
  <c r="R150" i="2"/>
  <c r="S150" i="2" s="1"/>
  <c r="R157" i="2"/>
  <c r="S157" i="2" s="1"/>
  <c r="R135" i="2"/>
  <c r="S135" i="2" s="1"/>
  <c r="R126" i="2"/>
  <c r="S126" i="2" s="1"/>
  <c r="R19" i="2"/>
  <c r="R39" i="2"/>
  <c r="R94" i="2"/>
  <c r="S94" i="2" s="1"/>
  <c r="D94" i="5" s="1"/>
  <c r="R128" i="2"/>
  <c r="S128" i="2" s="1"/>
  <c r="D129" i="5" s="1"/>
  <c r="R120" i="2"/>
  <c r="S120" i="2" s="1"/>
  <c r="D121" i="5" s="1"/>
  <c r="R112" i="2"/>
  <c r="S112" i="2" s="1"/>
  <c r="D113" i="5" s="1"/>
  <c r="R46" i="2"/>
  <c r="S46" i="2" s="1"/>
  <c r="D46" i="5" s="1"/>
  <c r="R164" i="2"/>
  <c r="S164" i="2" s="1"/>
  <c r="D167" i="5" s="1"/>
  <c r="R169" i="2"/>
  <c r="S169" i="2" s="1"/>
  <c r="D170" i="5" s="1"/>
  <c r="R151" i="2"/>
  <c r="S151" i="2" s="1"/>
  <c r="R149" i="2"/>
  <c r="S149" i="2" s="1"/>
  <c r="D151" i="5" s="1"/>
  <c r="R96" i="2"/>
  <c r="S96" i="2" s="1"/>
  <c r="R134" i="2"/>
  <c r="S134" i="2" s="1"/>
  <c r="R110" i="2"/>
  <c r="S110" i="2" s="1"/>
  <c r="D110" i="5" s="1"/>
  <c r="R95" i="2"/>
  <c r="S95" i="2" s="1"/>
  <c r="R132" i="2"/>
  <c r="S132" i="2" s="1"/>
  <c r="R124" i="2"/>
  <c r="S124" i="2" s="1"/>
  <c r="R116" i="2"/>
  <c r="S116" i="2" s="1"/>
  <c r="R85" i="2"/>
  <c r="S85" i="2" s="1"/>
  <c r="D85" i="5" s="1"/>
  <c r="R93" i="2"/>
  <c r="S93" i="2" s="1"/>
  <c r="D93" i="5" s="1"/>
  <c r="R80" i="2"/>
  <c r="S80" i="2" s="1"/>
  <c r="D80" i="5" s="1"/>
  <c r="R69" i="2"/>
  <c r="S69" i="2" s="1"/>
  <c r="D69" i="5" s="1"/>
  <c r="R37" i="2"/>
  <c r="S37" i="2" s="1"/>
  <c r="D37" i="5" s="1"/>
  <c r="R30" i="2"/>
  <c r="S30" i="2" s="1"/>
  <c r="D30" i="5" s="1"/>
  <c r="R17" i="2"/>
  <c r="S17" i="2" s="1"/>
  <c r="R162" i="2"/>
  <c r="S162" i="2" s="1"/>
  <c r="R148" i="2"/>
  <c r="S148" i="2" s="1"/>
  <c r="R141" i="2"/>
  <c r="S141" i="2" s="1"/>
  <c r="D143" i="5" s="1"/>
  <c r="R104" i="2"/>
  <c r="S104" i="2" s="1"/>
  <c r="R59" i="2"/>
  <c r="S59" i="2" s="1"/>
  <c r="R25" i="2"/>
  <c r="R47" i="2"/>
  <c r="S47" i="2" s="1"/>
  <c r="S4" i="2"/>
  <c r="D4" i="5" s="1"/>
  <c r="S66" i="2"/>
  <c r="S27" i="2"/>
  <c r="D14" i="5"/>
  <c r="D36" i="5"/>
  <c r="D2" i="5"/>
  <c r="D6" i="5"/>
  <c r="S33" i="2"/>
  <c r="D15" i="5"/>
  <c r="T67" i="2"/>
  <c r="U67" i="2" s="1"/>
  <c r="V67" i="2" s="1"/>
  <c r="T53" i="2"/>
  <c r="U53" i="2" s="1"/>
  <c r="V53" i="2" s="1"/>
  <c r="D45" i="5"/>
  <c r="D12" i="5"/>
  <c r="S34" i="2"/>
  <c r="D35" i="5" s="1"/>
  <c r="D11" i="5"/>
  <c r="S13" i="2"/>
  <c r="D13" i="5" s="1"/>
  <c r="D44" i="5"/>
  <c r="D29" i="5"/>
  <c r="D8" i="5"/>
  <c r="S7" i="2"/>
  <c r="D7" i="5" s="1"/>
  <c r="S40" i="2"/>
  <c r="D41" i="5" s="1"/>
  <c r="D33" i="5"/>
  <c r="D5" i="5"/>
  <c r="S16" i="2"/>
  <c r="D16" i="5" s="1"/>
  <c r="S42" i="2"/>
  <c r="S9" i="2"/>
  <c r="T9" i="2" s="1"/>
  <c r="E9" i="5" s="1"/>
  <c r="D26" i="5"/>
  <c r="S24" i="2"/>
  <c r="D24" i="5" s="1"/>
  <c r="S22" i="2"/>
  <c r="D22" i="5" s="1"/>
  <c r="S21" i="2"/>
  <c r="D21" i="5" s="1"/>
  <c r="S20" i="2"/>
  <c r="D20" i="5" s="1"/>
  <c r="S18" i="2"/>
  <c r="D18" i="5" s="1"/>
  <c r="R50" i="2"/>
  <c r="T159" i="2"/>
  <c r="T163" i="2"/>
  <c r="T174" i="2"/>
  <c r="D181" i="5"/>
  <c r="D156" i="5"/>
  <c r="T168" i="2"/>
  <c r="D175" i="5"/>
  <c r="T91" i="2"/>
  <c r="T109" i="2"/>
  <c r="T102" i="2"/>
  <c r="D107" i="5"/>
  <c r="D115" i="5"/>
  <c r="T143" i="2"/>
  <c r="D147" i="5"/>
  <c r="T97" i="2"/>
  <c r="D102" i="5"/>
  <c r="T140" i="2"/>
  <c r="T111" i="2"/>
  <c r="D99" i="5"/>
  <c r="D158" i="5"/>
  <c r="T152" i="2"/>
  <c r="D109" i="5"/>
  <c r="T98" i="2"/>
  <c r="D103" i="5"/>
  <c r="T113" i="2"/>
  <c r="T115" i="2"/>
  <c r="T122" i="2"/>
  <c r="T147" i="2"/>
  <c r="T167" i="2"/>
  <c r="D174" i="5"/>
  <c r="T144" i="2"/>
  <c r="T156" i="2"/>
  <c r="T171" i="2"/>
  <c r="D178" i="5"/>
  <c r="T108" i="2"/>
  <c r="T119" i="2"/>
  <c r="D139" i="5"/>
  <c r="T155" i="2"/>
  <c r="T160" i="2"/>
  <c r="T88" i="2"/>
  <c r="T107" i="2"/>
  <c r="T137" i="2"/>
  <c r="T170" i="2"/>
  <c r="D177" i="5"/>
  <c r="T83" i="2"/>
  <c r="D88" i="5"/>
  <c r="T81" i="2"/>
  <c r="D86" i="5"/>
  <c r="T89" i="2"/>
  <c r="T101" i="2"/>
  <c r="T121" i="2"/>
  <c r="D101" i="5"/>
  <c r="T133" i="2"/>
  <c r="T138" i="2"/>
  <c r="T154" i="2"/>
  <c r="T100" i="2"/>
  <c r="D105" i="5"/>
  <c r="T84" i="2"/>
  <c r="D89" i="5"/>
  <c r="T105" i="2"/>
  <c r="T127" i="2"/>
  <c r="D90" i="5"/>
  <c r="T173" i="2"/>
  <c r="D180" i="5"/>
  <c r="T86" i="2"/>
  <c r="D91" i="5"/>
  <c r="T99" i="2"/>
  <c r="D104" i="5"/>
  <c r="T129" i="2"/>
  <c r="T145" i="2"/>
  <c r="T158" i="2"/>
  <c r="T130" i="2"/>
  <c r="D135" i="5"/>
  <c r="D176" i="5"/>
  <c r="T87" i="2"/>
  <c r="D92" i="5"/>
  <c r="T92" i="2"/>
  <c r="T79" i="2"/>
  <c r="D84" i="5"/>
  <c r="T90" i="2"/>
  <c r="T103" i="2"/>
  <c r="D108" i="5"/>
  <c r="T106" i="2"/>
  <c r="D111" i="5"/>
  <c r="D100" i="5"/>
  <c r="T172" i="2"/>
  <c r="D179" i="5"/>
  <c r="T166" i="2"/>
  <c r="T82" i="2"/>
  <c r="T71" i="2"/>
  <c r="D73" i="5"/>
  <c r="T72" i="2"/>
  <c r="T74" i="2"/>
  <c r="D79" i="5"/>
  <c r="T75" i="2"/>
  <c r="D74" i="5"/>
  <c r="D81" i="5"/>
  <c r="T68" i="2"/>
  <c r="D72" i="5"/>
  <c r="T77" i="2"/>
  <c r="T73" i="2"/>
  <c r="T70" i="2"/>
  <c r="D75" i="5"/>
  <c r="T78" i="2"/>
  <c r="D83" i="5"/>
  <c r="T65" i="2"/>
  <c r="D70" i="5"/>
  <c r="T62" i="2"/>
  <c r="T64" i="2"/>
  <c r="T63" i="2"/>
  <c r="D67" i="5"/>
  <c r="T55" i="2"/>
  <c r="D59" i="5"/>
  <c r="D63" i="5"/>
  <c r="T56" i="2"/>
  <c r="D60" i="5"/>
  <c r="T57" i="2"/>
  <c r="T58" i="2"/>
  <c r="D62" i="5"/>
  <c r="T61" i="2"/>
  <c r="D65" i="5"/>
  <c r="T60" i="2"/>
  <c r="D64" i="5"/>
  <c r="T54" i="2"/>
  <c r="D58" i="5"/>
  <c r="D57" i="5"/>
  <c r="T51" i="2"/>
  <c r="D53" i="5"/>
  <c r="T52" i="2"/>
  <c r="D54" i="5"/>
  <c r="D52" i="5"/>
  <c r="D55" i="5"/>
  <c r="D56" i="5"/>
  <c r="T49" i="2"/>
  <c r="T2" i="2"/>
  <c r="E2" i="5" s="1"/>
  <c r="R3" i="2"/>
  <c r="T35" i="2"/>
  <c r="T6" i="2"/>
  <c r="E6" i="5" s="1"/>
  <c r="T36" i="2"/>
  <c r="T29" i="2"/>
  <c r="T38" i="2"/>
  <c r="T15" i="2"/>
  <c r="E15" i="5" s="1"/>
  <c r="T14" i="2"/>
  <c r="E14" i="5" s="1"/>
  <c r="T43" i="2"/>
  <c r="T5" i="2"/>
  <c r="E5" i="5" s="1"/>
  <c r="T32" i="2"/>
  <c r="T11" i="2"/>
  <c r="E11" i="5" s="1"/>
  <c r="T26" i="2"/>
  <c r="T8" i="2"/>
  <c r="E8" i="5" s="1"/>
  <c r="T28" i="2"/>
  <c r="E29" i="5" s="1"/>
  <c r="D132" i="5" l="1"/>
  <c r="D124" i="5"/>
  <c r="D141" i="5"/>
  <c r="D77" i="5"/>
  <c r="D76" i="5"/>
  <c r="D164" i="5"/>
  <c r="D162" i="5"/>
  <c r="T66" i="2"/>
  <c r="U66" i="2" s="1"/>
  <c r="V66" i="2" s="1"/>
  <c r="D66" i="5"/>
  <c r="D28" i="5"/>
  <c r="D27" i="5"/>
  <c r="D34" i="5"/>
  <c r="E36" i="5"/>
  <c r="D43" i="5"/>
  <c r="D42" i="5"/>
  <c r="D149" i="5"/>
  <c r="D148" i="5"/>
  <c r="D160" i="5"/>
  <c r="D159" i="5"/>
  <c r="D172" i="5"/>
  <c r="D171" i="5"/>
  <c r="T136" i="2"/>
  <c r="E138" i="5" s="1"/>
  <c r="D116" i="5"/>
  <c r="D127" i="5"/>
  <c r="D138" i="5"/>
  <c r="T125" i="2"/>
  <c r="T114" i="2"/>
  <c r="D49" i="5"/>
  <c r="S10" i="2"/>
  <c r="D10" i="5" s="1"/>
  <c r="S23" i="2"/>
  <c r="D23" i="5" s="1"/>
  <c r="T153" i="2"/>
  <c r="T165" i="2"/>
  <c r="T117" i="2"/>
  <c r="D142" i="5"/>
  <c r="T123" i="2"/>
  <c r="D140" i="5"/>
  <c r="D169" i="5"/>
  <c r="T118" i="2"/>
  <c r="D119" i="5"/>
  <c r="T146" i="2"/>
  <c r="D150" i="5"/>
  <c r="T161" i="2"/>
  <c r="D146" i="5"/>
  <c r="D120" i="5"/>
  <c r="D128" i="5"/>
  <c r="T131" i="2"/>
  <c r="D133" i="5"/>
  <c r="D157" i="5"/>
  <c r="T139" i="2"/>
  <c r="E139" i="5" s="1"/>
  <c r="T76" i="2"/>
  <c r="E77" i="5" s="1"/>
  <c r="D78" i="5"/>
  <c r="T48" i="2"/>
  <c r="E49" i="5" s="1"/>
  <c r="S31" i="2"/>
  <c r="S19" i="2"/>
  <c r="D19" i="5" s="1"/>
  <c r="D168" i="5"/>
  <c r="D96" i="5"/>
  <c r="D114" i="5"/>
  <c r="T94" i="2"/>
  <c r="T151" i="2"/>
  <c r="D154" i="5"/>
  <c r="T112" i="2"/>
  <c r="E113" i="5" s="1"/>
  <c r="D122" i="5"/>
  <c r="T126" i="2"/>
  <c r="D155" i="5"/>
  <c r="D161" i="5"/>
  <c r="D125" i="5"/>
  <c r="T135" i="2"/>
  <c r="T157" i="2"/>
  <c r="T142" i="2"/>
  <c r="D137" i="5"/>
  <c r="D165" i="5"/>
  <c r="T128" i="2"/>
  <c r="E129" i="5" s="1"/>
  <c r="T150" i="2"/>
  <c r="D47" i="5"/>
  <c r="D153" i="5"/>
  <c r="S39" i="2"/>
  <c r="D98" i="5"/>
  <c r="T149" i="2"/>
  <c r="T120" i="2"/>
  <c r="E121" i="5" s="1"/>
  <c r="D130" i="5"/>
  <c r="T169" i="2"/>
  <c r="D173" i="5"/>
  <c r="D145" i="5"/>
  <c r="T46" i="2"/>
  <c r="E47" i="5" s="1"/>
  <c r="D17" i="5"/>
  <c r="D38" i="5"/>
  <c r="T93" i="2"/>
  <c r="D118" i="5"/>
  <c r="T110" i="2"/>
  <c r="T134" i="2"/>
  <c r="E135" i="5" s="1"/>
  <c r="D82" i="5"/>
  <c r="D112" i="5"/>
  <c r="T116" i="2"/>
  <c r="E117" i="5" s="1"/>
  <c r="D126" i="5"/>
  <c r="T96" i="2"/>
  <c r="T164" i="2"/>
  <c r="E167" i="5" s="1"/>
  <c r="T80" i="2"/>
  <c r="E81" i="5" s="1"/>
  <c r="T85" i="2"/>
  <c r="T132" i="2"/>
  <c r="T124" i="2"/>
  <c r="D134" i="5"/>
  <c r="D136" i="5"/>
  <c r="D97" i="5"/>
  <c r="D95" i="5"/>
  <c r="T95" i="2"/>
  <c r="D87" i="5"/>
  <c r="T69" i="2"/>
  <c r="E70" i="5" s="1"/>
  <c r="D71" i="5"/>
  <c r="T30" i="2"/>
  <c r="E30" i="5" s="1"/>
  <c r="T17" i="2"/>
  <c r="E17" i="5" s="1"/>
  <c r="T37" i="2"/>
  <c r="D48" i="5"/>
  <c r="S25" i="2"/>
  <c r="D25" i="5" s="1"/>
  <c r="T141" i="2"/>
  <c r="D166" i="5"/>
  <c r="T104" i="2"/>
  <c r="T148" i="2"/>
  <c r="E148" i="5" s="1"/>
  <c r="D106" i="5"/>
  <c r="D144" i="5"/>
  <c r="D152" i="5"/>
  <c r="T59" i="2"/>
  <c r="T162" i="2"/>
  <c r="D61" i="5"/>
  <c r="T40" i="2"/>
  <c r="D68" i="5"/>
  <c r="T4" i="2"/>
  <c r="E4" i="5" s="1"/>
  <c r="T27" i="2"/>
  <c r="T16" i="2"/>
  <c r="E16" i="5" s="1"/>
  <c r="T42" i="2"/>
  <c r="E43" i="5" s="1"/>
  <c r="T33" i="2"/>
  <c r="E33" i="5" s="1"/>
  <c r="T18" i="2"/>
  <c r="E18" i="5" s="1"/>
  <c r="T22" i="2"/>
  <c r="E22" i="5" s="1"/>
  <c r="D9" i="5"/>
  <c r="E56" i="5"/>
  <c r="T7" i="2"/>
  <c r="E7" i="5" s="1"/>
  <c r="T34" i="2"/>
  <c r="E35" i="5" s="1"/>
  <c r="T24" i="2"/>
  <c r="E24" i="5" s="1"/>
  <c r="S3" i="2"/>
  <c r="D3" i="5" s="1"/>
  <c r="S50" i="2"/>
  <c r="T21" i="2"/>
  <c r="E21" i="5" s="1"/>
  <c r="T20" i="2"/>
  <c r="E20" i="5" s="1"/>
  <c r="E26" i="5"/>
  <c r="U154" i="2"/>
  <c r="V154" i="2" s="1"/>
  <c r="U89" i="2"/>
  <c r="V89" i="2" s="1"/>
  <c r="U137" i="2"/>
  <c r="V137" i="2" s="1"/>
  <c r="U119" i="2"/>
  <c r="V119" i="2" s="1"/>
  <c r="U171" i="2"/>
  <c r="V171" i="2" s="1"/>
  <c r="E178" i="5"/>
  <c r="U147" i="2"/>
  <c r="V147" i="2" s="1"/>
  <c r="U98" i="2"/>
  <c r="V98" i="2" s="1"/>
  <c r="E103" i="5"/>
  <c r="U97" i="2"/>
  <c r="V97" i="2" s="1"/>
  <c r="E102" i="5"/>
  <c r="E115" i="5"/>
  <c r="U168" i="2"/>
  <c r="V168" i="2" s="1"/>
  <c r="E175" i="5"/>
  <c r="U163" i="2"/>
  <c r="V163" i="2" s="1"/>
  <c r="E176" i="5"/>
  <c r="E123" i="5"/>
  <c r="U106" i="2"/>
  <c r="V106" i="2" s="1"/>
  <c r="E85" i="5"/>
  <c r="U121" i="2"/>
  <c r="V121" i="2" s="1"/>
  <c r="U107" i="2"/>
  <c r="V107" i="2" s="1"/>
  <c r="U155" i="2"/>
  <c r="V155" i="2" s="1"/>
  <c r="E162" i="5"/>
  <c r="U156" i="2"/>
  <c r="V156" i="2" s="1"/>
  <c r="E163" i="5"/>
  <c r="E109" i="5"/>
  <c r="E99" i="5"/>
  <c r="U102" i="2"/>
  <c r="V102" i="2" s="1"/>
  <c r="E107" i="5"/>
  <c r="E156" i="5"/>
  <c r="U159" i="2"/>
  <c r="V159" i="2" s="1"/>
  <c r="U90" i="2"/>
  <c r="V90" i="2" s="1"/>
  <c r="U127" i="2"/>
  <c r="V127" i="2" s="1"/>
  <c r="E132" i="5"/>
  <c r="U79" i="2"/>
  <c r="V79" i="2" s="1"/>
  <c r="E84" i="5"/>
  <c r="U99" i="2"/>
  <c r="V99" i="2" s="1"/>
  <c r="E104" i="5"/>
  <c r="U138" i="2"/>
  <c r="V138" i="2" s="1"/>
  <c r="U81" i="2"/>
  <c r="V81" i="2" s="1"/>
  <c r="E86" i="5"/>
  <c r="U122" i="2"/>
  <c r="V122" i="2" s="1"/>
  <c r="U92" i="2"/>
  <c r="V92" i="2" s="1"/>
  <c r="U158" i="2"/>
  <c r="V158" i="2" s="1"/>
  <c r="U86" i="2"/>
  <c r="V86" i="2" s="1"/>
  <c r="E91" i="5"/>
  <c r="E90" i="5"/>
  <c r="U100" i="2"/>
  <c r="V100" i="2" s="1"/>
  <c r="E105" i="5"/>
  <c r="U133" i="2"/>
  <c r="V133" i="2" s="1"/>
  <c r="U83" i="2"/>
  <c r="V83" i="2" s="1"/>
  <c r="E88" i="5"/>
  <c r="U88" i="2"/>
  <c r="V88" i="2" s="1"/>
  <c r="U144" i="2"/>
  <c r="V144" i="2" s="1"/>
  <c r="U115" i="2"/>
  <c r="V115" i="2" s="1"/>
  <c r="U111" i="2"/>
  <c r="V111" i="2" s="1"/>
  <c r="U109" i="2"/>
  <c r="V109" i="2" s="1"/>
  <c r="U174" i="2"/>
  <c r="V174" i="2" s="1"/>
  <c r="E181" i="5"/>
  <c r="E100" i="5"/>
  <c r="U84" i="2"/>
  <c r="V84" i="2" s="1"/>
  <c r="E89" i="5"/>
  <c r="U172" i="2"/>
  <c r="V172" i="2" s="1"/>
  <c r="E179" i="5"/>
  <c r="U130" i="2"/>
  <c r="V130" i="2" s="1"/>
  <c r="U166" i="2"/>
  <c r="V166" i="2" s="1"/>
  <c r="U103" i="2"/>
  <c r="V103" i="2" s="1"/>
  <c r="E108" i="5"/>
  <c r="U87" i="2"/>
  <c r="V87" i="2" s="1"/>
  <c r="E92" i="5"/>
  <c r="U145" i="2"/>
  <c r="V145" i="2" s="1"/>
  <c r="U129" i="2"/>
  <c r="V129" i="2" s="1"/>
  <c r="U173" i="2"/>
  <c r="V173" i="2" s="1"/>
  <c r="E180" i="5"/>
  <c r="U105" i="2"/>
  <c r="V105" i="2" s="1"/>
  <c r="E171" i="5"/>
  <c r="E101" i="5"/>
  <c r="U101" i="2"/>
  <c r="V101" i="2" s="1"/>
  <c r="U170" i="2"/>
  <c r="V170" i="2" s="1"/>
  <c r="E177" i="5"/>
  <c r="U160" i="2"/>
  <c r="V160" i="2" s="1"/>
  <c r="E131" i="5"/>
  <c r="U108" i="2"/>
  <c r="V108" i="2" s="1"/>
  <c r="U167" i="2"/>
  <c r="V167" i="2" s="1"/>
  <c r="E174" i="5"/>
  <c r="U113" i="2"/>
  <c r="V113" i="2" s="1"/>
  <c r="U152" i="2"/>
  <c r="V152" i="2" s="1"/>
  <c r="E159" i="5"/>
  <c r="U140" i="2"/>
  <c r="V140" i="2" s="1"/>
  <c r="U143" i="2"/>
  <c r="V143" i="2" s="1"/>
  <c r="U91" i="2"/>
  <c r="V91" i="2" s="1"/>
  <c r="U82" i="2"/>
  <c r="V82" i="2" s="1"/>
  <c r="U78" i="2"/>
  <c r="V78" i="2" s="1"/>
  <c r="E83" i="5"/>
  <c r="U77" i="2"/>
  <c r="V77" i="2" s="1"/>
  <c r="E74" i="5"/>
  <c r="U72" i="2"/>
  <c r="V72" i="2" s="1"/>
  <c r="U70" i="2"/>
  <c r="V70" i="2" s="1"/>
  <c r="E75" i="5"/>
  <c r="U68" i="2"/>
  <c r="V68" i="2" s="1"/>
  <c r="E72" i="5"/>
  <c r="U75" i="2"/>
  <c r="V75" i="2" s="1"/>
  <c r="E80" i="5"/>
  <c r="E73" i="5"/>
  <c r="U73" i="2"/>
  <c r="V73" i="2" s="1"/>
  <c r="U74" i="2"/>
  <c r="V74" i="2" s="1"/>
  <c r="E79" i="5"/>
  <c r="U71" i="2"/>
  <c r="V71" i="2" s="1"/>
  <c r="E76" i="5"/>
  <c r="U65" i="2"/>
  <c r="V65" i="2" s="1"/>
  <c r="U63" i="2"/>
  <c r="V63" i="2" s="1"/>
  <c r="E67" i="5"/>
  <c r="U64" i="2"/>
  <c r="V64" i="2" s="1"/>
  <c r="E68" i="5"/>
  <c r="E69" i="5"/>
  <c r="U62" i="2"/>
  <c r="V62" i="2" s="1"/>
  <c r="E66" i="5"/>
  <c r="U56" i="2"/>
  <c r="V56" i="2" s="1"/>
  <c r="E60" i="5"/>
  <c r="U58" i="2"/>
  <c r="V58" i="2" s="1"/>
  <c r="E62" i="5"/>
  <c r="E63" i="5"/>
  <c r="U57" i="2"/>
  <c r="V57" i="2" s="1"/>
  <c r="U55" i="2"/>
  <c r="V55" i="2" s="1"/>
  <c r="E59" i="5"/>
  <c r="U61" i="2"/>
  <c r="V61" i="2" s="1"/>
  <c r="E65" i="5"/>
  <c r="U60" i="2"/>
  <c r="V60" i="2" s="1"/>
  <c r="E64" i="5"/>
  <c r="U54" i="2"/>
  <c r="V54" i="2" s="1"/>
  <c r="E58" i="5"/>
  <c r="E57" i="5"/>
  <c r="U52" i="2"/>
  <c r="V52" i="2" s="1"/>
  <c r="E54" i="5"/>
  <c r="E52" i="5"/>
  <c r="E55" i="5"/>
  <c r="U51" i="2"/>
  <c r="V51" i="2" s="1"/>
  <c r="E53" i="5"/>
  <c r="U49" i="2"/>
  <c r="V49" i="2" s="1"/>
  <c r="U15" i="2"/>
  <c r="V15" i="2" s="1"/>
  <c r="U11" i="2"/>
  <c r="V11" i="2" s="1"/>
  <c r="U9" i="2"/>
  <c r="V9" i="2" s="1"/>
  <c r="U29" i="2"/>
  <c r="V29" i="2" s="1"/>
  <c r="U14" i="2"/>
  <c r="V14" i="2" s="1"/>
  <c r="U6" i="2"/>
  <c r="V6" i="2" s="1"/>
  <c r="U28" i="2"/>
  <c r="V28" i="2" s="1"/>
  <c r="U5" i="2"/>
  <c r="V5" i="2" s="1"/>
  <c r="U35" i="2"/>
  <c r="V35" i="2" s="1"/>
  <c r="U8" i="2"/>
  <c r="V8" i="2" s="1"/>
  <c r="U38" i="2"/>
  <c r="V38" i="2" s="1"/>
  <c r="U32" i="2"/>
  <c r="V32" i="2" s="1"/>
  <c r="U36" i="2"/>
  <c r="V36" i="2" s="1"/>
  <c r="U26" i="2"/>
  <c r="V26" i="2" s="1"/>
  <c r="U43" i="2"/>
  <c r="V43" i="2" s="1"/>
  <c r="U2" i="2"/>
  <c r="V2" i="2" s="1"/>
  <c r="T47" i="2"/>
  <c r="E48" i="5" s="1"/>
  <c r="T13" i="2"/>
  <c r="E13" i="5" s="1"/>
  <c r="T44" i="2"/>
  <c r="T45" i="2"/>
  <c r="T12" i="2"/>
  <c r="E12" i="5" s="1"/>
  <c r="T41" i="2"/>
  <c r="E124" i="5" l="1"/>
  <c r="E141" i="5"/>
  <c r="E42" i="5"/>
  <c r="E94" i="5"/>
  <c r="E93" i="5"/>
  <c r="E111" i="5"/>
  <c r="E110" i="5"/>
  <c r="E143" i="5"/>
  <c r="E151" i="5"/>
  <c r="E41" i="5"/>
  <c r="E34" i="5"/>
  <c r="E46" i="5"/>
  <c r="E149" i="5"/>
  <c r="E147" i="5"/>
  <c r="D32" i="5"/>
  <c r="D31" i="5"/>
  <c r="E160" i="5"/>
  <c r="E158" i="5"/>
  <c r="D40" i="5"/>
  <c r="D39" i="5"/>
  <c r="E172" i="5"/>
  <c r="E170" i="5"/>
  <c r="E38" i="5"/>
  <c r="E37" i="5"/>
  <c r="E28" i="5"/>
  <c r="E27" i="5"/>
  <c r="D51" i="5"/>
  <c r="D50" i="5"/>
  <c r="E45" i="5"/>
  <c r="E44" i="5"/>
  <c r="E164" i="5"/>
  <c r="U136" i="2"/>
  <c r="V136" i="2" s="1"/>
  <c r="E127" i="5"/>
  <c r="U114" i="2"/>
  <c r="V114" i="2" s="1"/>
  <c r="U125" i="2"/>
  <c r="V125" i="2" s="1"/>
  <c r="E116" i="5"/>
  <c r="U46" i="2"/>
  <c r="V46" i="2" s="1"/>
  <c r="E78" i="5"/>
  <c r="T10" i="2"/>
  <c r="E10" i="5" s="1"/>
  <c r="T23" i="2"/>
  <c r="E23" i="5" s="1"/>
  <c r="E169" i="5"/>
  <c r="U123" i="2"/>
  <c r="V123" i="2" s="1"/>
  <c r="U161" i="2"/>
  <c r="V161" i="2" s="1"/>
  <c r="U118" i="2"/>
  <c r="V118" i="2" s="1"/>
  <c r="E157" i="5"/>
  <c r="U165" i="2"/>
  <c r="V165" i="2" s="1"/>
  <c r="U117" i="2"/>
  <c r="V117" i="2" s="1"/>
  <c r="U146" i="2"/>
  <c r="V146" i="2" s="1"/>
  <c r="U76" i="2"/>
  <c r="V76" i="2" s="1"/>
  <c r="E119" i="5"/>
  <c r="E150" i="5"/>
  <c r="U153" i="2"/>
  <c r="V153" i="2" s="1"/>
  <c r="E165" i="5"/>
  <c r="E125" i="5"/>
  <c r="E120" i="5"/>
  <c r="E140" i="5"/>
  <c r="U48" i="2"/>
  <c r="V48" i="2" s="1"/>
  <c r="U139" i="2"/>
  <c r="V139" i="2" s="1"/>
  <c r="E142" i="5"/>
  <c r="U169" i="2"/>
  <c r="V169" i="2" s="1"/>
  <c r="E173" i="5"/>
  <c r="U131" i="2"/>
  <c r="V131" i="2" s="1"/>
  <c r="E133" i="5"/>
  <c r="T31" i="2"/>
  <c r="E161" i="5"/>
  <c r="E128" i="5"/>
  <c r="E155" i="5"/>
  <c r="E154" i="5"/>
  <c r="U151" i="2"/>
  <c r="V151" i="2" s="1"/>
  <c r="E137" i="5"/>
  <c r="U94" i="2"/>
  <c r="V94" i="2" s="1"/>
  <c r="U149" i="2"/>
  <c r="V149" i="2" s="1"/>
  <c r="E146" i="5"/>
  <c r="U126" i="2"/>
  <c r="V126" i="2" s="1"/>
  <c r="E96" i="5"/>
  <c r="E130" i="5"/>
  <c r="U150" i="2"/>
  <c r="V150" i="2" s="1"/>
  <c r="U128" i="2"/>
  <c r="V128" i="2" s="1"/>
  <c r="U120" i="2"/>
  <c r="V120" i="2" s="1"/>
  <c r="E114" i="5"/>
  <c r="E122" i="5"/>
  <c r="U142" i="2"/>
  <c r="V142" i="2" s="1"/>
  <c r="E153" i="5"/>
  <c r="T19" i="2"/>
  <c r="E19" i="5" s="1"/>
  <c r="T39" i="2"/>
  <c r="U112" i="2"/>
  <c r="V112" i="2" s="1"/>
  <c r="U157" i="2"/>
  <c r="V157" i="2" s="1"/>
  <c r="U135" i="2"/>
  <c r="V135" i="2" s="1"/>
  <c r="T25" i="2"/>
  <c r="E25" i="5" s="1"/>
  <c r="E71" i="5"/>
  <c r="E145" i="5"/>
  <c r="U124" i="2"/>
  <c r="V124" i="2" s="1"/>
  <c r="U17" i="2"/>
  <c r="V17" i="2" s="1"/>
  <c r="U162" i="2"/>
  <c r="V162" i="2" s="1"/>
  <c r="U148" i="2"/>
  <c r="V148" i="2" s="1"/>
  <c r="E112" i="5"/>
  <c r="E95" i="5"/>
  <c r="E136" i="5"/>
  <c r="U85" i="2"/>
  <c r="V85" i="2" s="1"/>
  <c r="U116" i="2"/>
  <c r="V116" i="2" s="1"/>
  <c r="U93" i="2"/>
  <c r="V93" i="2" s="1"/>
  <c r="E61" i="5"/>
  <c r="U110" i="2"/>
  <c r="V110" i="2" s="1"/>
  <c r="E168" i="5"/>
  <c r="U132" i="2"/>
  <c r="V132" i="2" s="1"/>
  <c r="U80" i="2"/>
  <c r="V80" i="2" s="1"/>
  <c r="E126" i="5"/>
  <c r="U104" i="2"/>
  <c r="V104" i="2" s="1"/>
  <c r="E166" i="5"/>
  <c r="E144" i="5"/>
  <c r="E97" i="5"/>
  <c r="U134" i="2"/>
  <c r="V134" i="2" s="1"/>
  <c r="U95" i="2"/>
  <c r="V95" i="2" s="1"/>
  <c r="E98" i="5"/>
  <c r="U141" i="2"/>
  <c r="V141" i="2" s="1"/>
  <c r="U30" i="2"/>
  <c r="V30" i="2" s="1"/>
  <c r="E152" i="5"/>
  <c r="E134" i="5"/>
  <c r="U59" i="2"/>
  <c r="V59" i="2" s="1"/>
  <c r="U37" i="2"/>
  <c r="V37" i="2" s="1"/>
  <c r="U164" i="2"/>
  <c r="V164" i="2" s="1"/>
  <c r="U96" i="2"/>
  <c r="V96" i="2" s="1"/>
  <c r="E106" i="5"/>
  <c r="E118" i="5"/>
  <c r="E87" i="5"/>
  <c r="E82" i="5"/>
  <c r="U69" i="2"/>
  <c r="V69" i="2" s="1"/>
  <c r="U40" i="2"/>
  <c r="V40" i="2" s="1"/>
  <c r="U27" i="2"/>
  <c r="V27" i="2" s="1"/>
  <c r="U4" i="2"/>
  <c r="V4" i="2" s="1"/>
  <c r="U22" i="2"/>
  <c r="V22" i="2" s="1"/>
  <c r="U33" i="2"/>
  <c r="V33" i="2" s="1"/>
  <c r="U42" i="2"/>
  <c r="V42" i="2" s="1"/>
  <c r="U18" i="2"/>
  <c r="V18" i="2" s="1"/>
  <c r="U16" i="2"/>
  <c r="V16" i="2" s="1"/>
  <c r="U34" i="2"/>
  <c r="V34" i="2" s="1"/>
  <c r="U7" i="2"/>
  <c r="V7" i="2" s="1"/>
  <c r="T3" i="2"/>
  <c r="E3" i="5" s="1"/>
  <c r="T50" i="2"/>
  <c r="E50" i="5" s="1"/>
  <c r="U20" i="2"/>
  <c r="V20" i="2" s="1"/>
  <c r="U24" i="2"/>
  <c r="V24" i="2" s="1"/>
  <c r="U21" i="2"/>
  <c r="V21" i="2" s="1"/>
  <c r="U12" i="2"/>
  <c r="V12" i="2" s="1"/>
  <c r="U41" i="2"/>
  <c r="V41" i="2" s="1"/>
  <c r="U44" i="2"/>
  <c r="V44" i="2" s="1"/>
  <c r="U45" i="2"/>
  <c r="V45" i="2" s="1"/>
  <c r="U13" i="2"/>
  <c r="V13" i="2" s="1"/>
  <c r="U47" i="2"/>
  <c r="V47" i="2" s="1"/>
  <c r="E32" i="5" l="1"/>
  <c r="E31" i="5"/>
  <c r="E40" i="5"/>
  <c r="E39" i="5"/>
  <c r="U10" i="2"/>
  <c r="V10" i="2" s="1"/>
  <c r="U31" i="2"/>
  <c r="V31" i="2" s="1"/>
  <c r="U23" i="2"/>
  <c r="V23" i="2" s="1"/>
  <c r="U39" i="2"/>
  <c r="V39" i="2" s="1"/>
  <c r="U19" i="2"/>
  <c r="V19" i="2" s="1"/>
  <c r="U25" i="2"/>
  <c r="V25" i="2" s="1"/>
  <c r="U3" i="2"/>
  <c r="V3" i="2" s="1"/>
  <c r="E51" i="5"/>
  <c r="U50" i="2"/>
  <c r="V50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Jobs" description="Connection to the 'Jobs' query in the workbook." type="5" refreshedVersion="8" background="1" saveData="1">
    <dbPr connection="Provider=Microsoft.Mashup.OleDb.1;Data Source=$Workbook$;Location=Jobs;Extended Properties=&quot;&quot;" command="SELECT * FROM [Jobs]"/>
  </connection>
  <connection id="2" xr16:uid="{00000000-0015-0000-FFFF-FFFF01000000}" keepAlive="1" name="Query - Jobs (2)" description="Connection to the 'Jobs (2)' query in the workbook." type="5" refreshedVersion="8" background="1" saveData="1">
    <dbPr connection="Provider=Microsoft.Mashup.OleDb.1;Data Source=$Workbook$;Location=&quot;Jobs (2)&quot;;Extended Properties=&quot;&quot;" command="SELECT * FROM [Jobs (2)]"/>
  </connection>
</connections>
</file>

<file path=xl/sharedStrings.xml><?xml version="1.0" encoding="utf-8"?>
<sst xmlns="http://schemas.openxmlformats.org/spreadsheetml/2006/main" count="843" uniqueCount="353">
  <si>
    <t>Material</t>
  </si>
  <si>
    <t>Price_per_kg</t>
  </si>
  <si>
    <t>Waste_pct</t>
  </si>
  <si>
    <t>Color</t>
  </si>
  <si>
    <t>Notes</t>
  </si>
  <si>
    <t>PLA</t>
  </si>
  <si>
    <t>PLA silk</t>
  </si>
  <si>
    <t>PETG</t>
  </si>
  <si>
    <t>TPU (95A)</t>
  </si>
  <si>
    <t>black</t>
  </si>
  <si>
    <t>gold black</t>
  </si>
  <si>
    <t>General purpose</t>
  </si>
  <si>
    <t>Heat resistant</t>
  </si>
  <si>
    <t>Flexible</t>
  </si>
  <si>
    <t>Machine</t>
  </si>
  <si>
    <t>Power_W</t>
  </si>
  <si>
    <t>Purchase_Price</t>
  </si>
  <si>
    <t>Life_hours</t>
  </si>
  <si>
    <t>Maintenance_pct</t>
  </si>
  <si>
    <t>Key Settings</t>
  </si>
  <si>
    <t>Electricity_rate_per_kWh</t>
  </si>
  <si>
    <t>Default_markup_pct</t>
  </si>
  <si>
    <t>Black</t>
  </si>
  <si>
    <t>Red</t>
  </si>
  <si>
    <t>Overhead (Material-based)</t>
  </si>
  <si>
    <t>Overhead_fixed_per_job</t>
  </si>
  <si>
    <t>Overhead_pct_on_material</t>
  </si>
  <si>
    <t>Overhead_rate_per_100g</t>
  </si>
  <si>
    <t>Product</t>
  </si>
  <si>
    <t>Qty</t>
  </si>
  <si>
    <t>orange</t>
  </si>
  <si>
    <t>gray</t>
  </si>
  <si>
    <t>white</t>
  </si>
  <si>
    <t>Wight/g</t>
  </si>
  <si>
    <t>Support/g</t>
  </si>
  <si>
    <t>Print/h</t>
  </si>
  <si>
    <t>Matrial/t</t>
  </si>
  <si>
    <t>power/t</t>
  </si>
  <si>
    <t>Maintenance/t</t>
  </si>
  <si>
    <t>downturn/t</t>
  </si>
  <si>
    <t>overhead/t</t>
  </si>
  <si>
    <t>base price/t</t>
  </si>
  <si>
    <t>margin %/t</t>
  </si>
  <si>
    <t>Gross margin/t</t>
  </si>
  <si>
    <t>color</t>
  </si>
  <si>
    <t>Product ID</t>
  </si>
  <si>
    <t>PRO-0001</t>
  </si>
  <si>
    <t>PRO-0002</t>
  </si>
  <si>
    <t>PRO-0003</t>
  </si>
  <si>
    <t>PRO-0004</t>
  </si>
  <si>
    <t>PRO-0005</t>
  </si>
  <si>
    <t>PRO-0006</t>
  </si>
  <si>
    <t>PRO-0007</t>
  </si>
  <si>
    <t>PRO-0008</t>
  </si>
  <si>
    <t>PRO-0009</t>
  </si>
  <si>
    <t>PRO-0010</t>
  </si>
  <si>
    <t>PRO-0011</t>
  </si>
  <si>
    <t>PRO-0012</t>
  </si>
  <si>
    <t>PRO-0013</t>
  </si>
  <si>
    <t>PRO-0014</t>
  </si>
  <si>
    <t>PRO-0015</t>
  </si>
  <si>
    <t>Flushed/g</t>
  </si>
  <si>
    <t>PRO-0016</t>
  </si>
  <si>
    <t>PRO-0017</t>
  </si>
  <si>
    <t>PRO-0018</t>
  </si>
  <si>
    <t>PRO-0019</t>
  </si>
  <si>
    <t>PRO-0020</t>
  </si>
  <si>
    <t>PRO-0021</t>
  </si>
  <si>
    <t>PRO-0022</t>
  </si>
  <si>
    <t>PRO-0023</t>
  </si>
  <si>
    <t>PRO-0024</t>
  </si>
  <si>
    <t>PRO-0025</t>
  </si>
  <si>
    <t>PRO-0026</t>
  </si>
  <si>
    <t>PRO-0027</t>
  </si>
  <si>
    <t>PRO-0028</t>
  </si>
  <si>
    <t>PRO-0029</t>
  </si>
  <si>
    <t>PRO-0030</t>
  </si>
  <si>
    <t>Coloring/t</t>
  </si>
  <si>
    <t>Coloring coast/h</t>
  </si>
  <si>
    <t>Extras</t>
  </si>
  <si>
    <t>Sunlu t3</t>
  </si>
  <si>
    <t>Post Pro/h</t>
  </si>
  <si>
    <t>Sugested Price/t</t>
  </si>
  <si>
    <t>Row Labels</t>
  </si>
  <si>
    <t>Sum of Matrial/t</t>
  </si>
  <si>
    <t>(blank)</t>
  </si>
  <si>
    <t>Grand Total</t>
  </si>
  <si>
    <t>Sum of base price/t</t>
  </si>
  <si>
    <t>Sum of Gross margin/t</t>
  </si>
  <si>
    <t>Sum of margin %/t</t>
  </si>
  <si>
    <t>PLA +</t>
  </si>
  <si>
    <t>PLA SILK</t>
  </si>
  <si>
    <t>WOOD</t>
  </si>
  <si>
    <t>Olive Green</t>
  </si>
  <si>
    <t>Pine Green</t>
  </si>
  <si>
    <t>White</t>
  </si>
  <si>
    <t>Gold blue coper</t>
  </si>
  <si>
    <t>gold silver red</t>
  </si>
  <si>
    <t>walnut</t>
  </si>
  <si>
    <t>ماسک بالماسکه</t>
  </si>
  <si>
    <t xml:space="preserve">کدو تنبل نجیب  </t>
  </si>
  <si>
    <t>اسکلت بی استخون</t>
  </si>
  <si>
    <t>زیرلیوانی تار عنکبوت</t>
  </si>
  <si>
    <t xml:space="preserve">کدو تنبل های چشم چران  </t>
  </si>
  <si>
    <t>تاج الف</t>
  </si>
  <si>
    <t>ماسک از یاد رفتگان</t>
  </si>
  <si>
    <t>خانواده نوری - اژدر، منیژه و ژاله</t>
  </si>
  <si>
    <t>ماسک سامورایی</t>
  </si>
  <si>
    <t>Final Price</t>
  </si>
  <si>
    <t>Persian Name</t>
  </si>
  <si>
    <t>ماسک نسیان</t>
  </si>
  <si>
    <t>ایرکاف تار عنکبوت</t>
  </si>
  <si>
    <t>استند تاس d20</t>
  </si>
  <si>
    <t>فیجت ستاره ای</t>
  </si>
  <si>
    <t>فیجت مکعب بی نهایت</t>
  </si>
  <si>
    <t>فیجت چرخان طرح 1</t>
  </si>
  <si>
    <t>فیجت چرخان طرح 2</t>
  </si>
  <si>
    <t>کاسه توکا</t>
  </si>
  <si>
    <t>موبند گل</t>
  </si>
  <si>
    <t>موبند گوچه ای ساکورا</t>
  </si>
  <si>
    <t>جا شمعی دست</t>
  </si>
  <si>
    <t>دوش اهریمن</t>
  </si>
  <si>
    <t>هولدر چرخ دنده ای گوشی</t>
  </si>
  <si>
    <t>زیرلیوانی دانه برف</t>
  </si>
  <si>
    <t>ظرف اژدها</t>
  </si>
  <si>
    <t>گلدان صورت</t>
  </si>
  <si>
    <t>جاشمعی صورت</t>
  </si>
  <si>
    <t>هولدر هدفون ریک</t>
  </si>
  <si>
    <t>هولدر دسته دو تایی</t>
  </si>
  <si>
    <t>Anycubic Kobra S1- office</t>
  </si>
  <si>
    <t>Anycubic Kobra S1- barbod</t>
  </si>
  <si>
    <t>PLA MATE</t>
  </si>
  <si>
    <t>DARK MAHAGUNI</t>
  </si>
  <si>
    <t>blue</t>
  </si>
  <si>
    <t>lavander purple</t>
  </si>
  <si>
    <t>PLA Fast</t>
  </si>
  <si>
    <t>ست مهره شطرنج سگ و گربه</t>
  </si>
  <si>
    <t>petg transparent</t>
  </si>
  <si>
    <t>TRANSPARENT</t>
  </si>
  <si>
    <t>آباژور رومیزی</t>
  </si>
  <si>
    <t>جا دستمالی اورئو</t>
  </si>
  <si>
    <t>ست مهره شطرنج انسان</t>
  </si>
  <si>
    <t>نظم دنده گربه</t>
  </si>
  <si>
    <t>آباژور رومیزی لمسی مکعب</t>
  </si>
  <si>
    <t>جاسوییچی خرچنگ</t>
  </si>
  <si>
    <t>KE001</t>
  </si>
  <si>
    <t>KE002</t>
  </si>
  <si>
    <t>KE003</t>
  </si>
  <si>
    <t>KE004</t>
  </si>
  <si>
    <t>KE005</t>
  </si>
  <si>
    <t>KE006</t>
  </si>
  <si>
    <t>KE007</t>
  </si>
  <si>
    <t>KE008</t>
  </si>
  <si>
    <t>KE009</t>
  </si>
  <si>
    <t>KE010</t>
  </si>
  <si>
    <t>KE011</t>
  </si>
  <si>
    <t>KE012</t>
  </si>
  <si>
    <t>KE013</t>
  </si>
  <si>
    <t>KE014</t>
  </si>
  <si>
    <t>KE015</t>
  </si>
  <si>
    <t>CO001</t>
  </si>
  <si>
    <t>CO002</t>
  </si>
  <si>
    <t>CO003</t>
  </si>
  <si>
    <t>CO004</t>
  </si>
  <si>
    <t>CO005</t>
  </si>
  <si>
    <t>CO006</t>
  </si>
  <si>
    <t>CO007</t>
  </si>
  <si>
    <t>CO008</t>
  </si>
  <si>
    <t>CO009</t>
  </si>
  <si>
    <t>CO010</t>
  </si>
  <si>
    <t>CO011</t>
  </si>
  <si>
    <t>CO012</t>
  </si>
  <si>
    <t>CO013</t>
  </si>
  <si>
    <t>CO014</t>
  </si>
  <si>
    <t>CO015</t>
  </si>
  <si>
    <t>CO016</t>
  </si>
  <si>
    <t>CO017</t>
  </si>
  <si>
    <t>CO018</t>
  </si>
  <si>
    <t>CO019</t>
  </si>
  <si>
    <t>CO020</t>
  </si>
  <si>
    <t>SK001</t>
  </si>
  <si>
    <t>SK002</t>
  </si>
  <si>
    <t>SK003</t>
  </si>
  <si>
    <t>SK004</t>
  </si>
  <si>
    <t>SK005</t>
  </si>
  <si>
    <t>SK006</t>
  </si>
  <si>
    <t>SK007</t>
  </si>
  <si>
    <t>SK008</t>
  </si>
  <si>
    <t>SK009</t>
  </si>
  <si>
    <t>SK010</t>
  </si>
  <si>
    <t>BO001</t>
  </si>
  <si>
    <t>BO002</t>
  </si>
  <si>
    <t>BO003</t>
  </si>
  <si>
    <t>BO004</t>
  </si>
  <si>
    <t>BO005</t>
  </si>
  <si>
    <t>BO006</t>
  </si>
  <si>
    <t>BO007</t>
  </si>
  <si>
    <t>BO008</t>
  </si>
  <si>
    <t>BO009</t>
  </si>
  <si>
    <t>BO010</t>
  </si>
  <si>
    <t>BO011</t>
  </si>
  <si>
    <t>BO012</t>
  </si>
  <si>
    <t>BO013</t>
  </si>
  <si>
    <t>BO014</t>
  </si>
  <si>
    <t>BO015</t>
  </si>
  <si>
    <t>کالکشن برگ</t>
  </si>
  <si>
    <t>زیپ</t>
  </si>
  <si>
    <t>مار</t>
  </si>
  <si>
    <t>کالکشن گربه آویزان</t>
  </si>
  <si>
    <t>تمساح</t>
  </si>
  <si>
    <t>دست هیولا</t>
  </si>
  <si>
    <t>اژدها</t>
  </si>
  <si>
    <t>کالکشن ماینکرفت</t>
  </si>
  <si>
    <t>کالکشن ارباب حلقه ها</t>
  </si>
  <si>
    <t>کالکشن جنگ ستارگان</t>
  </si>
  <si>
    <t>کالکشن ابر قهرمانان</t>
  </si>
  <si>
    <t>کالکشن گل</t>
  </si>
  <si>
    <t>کالکشن گربه</t>
  </si>
  <si>
    <t>کالکشن هری پاتر</t>
  </si>
  <si>
    <t>قایق</t>
  </si>
  <si>
    <t>PT001</t>
  </si>
  <si>
    <t>موجی</t>
  </si>
  <si>
    <t>PT002</t>
  </si>
  <si>
    <t>برج گلوله</t>
  </si>
  <si>
    <t>PT003</t>
  </si>
  <si>
    <t>کسر</t>
  </si>
  <si>
    <t>PT004</t>
  </si>
  <si>
    <t>روبیک مورب</t>
  </si>
  <si>
    <t>PT005</t>
  </si>
  <si>
    <t>برج گربه</t>
  </si>
  <si>
    <t>PT006</t>
  </si>
  <si>
    <t>کالکشن پازل گربه</t>
  </si>
  <si>
    <t>PT007</t>
  </si>
  <si>
    <t>قالب برف بازی</t>
  </si>
  <si>
    <t>PT008</t>
  </si>
  <si>
    <t>منجنیق برف بازی</t>
  </si>
  <si>
    <t>PT009</t>
  </si>
  <si>
    <t>پروانه پروازی</t>
  </si>
  <si>
    <t>کیف اسکلت</t>
  </si>
  <si>
    <t>کیف گوتیک صورتی</t>
  </si>
  <si>
    <t>کیف گوتیک گرد</t>
  </si>
  <si>
    <t>تابوت دیواری اکسسوری</t>
  </si>
  <si>
    <t>جای سکه خانم</t>
  </si>
  <si>
    <t>جای اکسسوری به شکل دست</t>
  </si>
  <si>
    <t>ارگنایزر طبقاتی</t>
  </si>
  <si>
    <t>تاج گوتیک</t>
  </si>
  <si>
    <t>کوزه گوتیک</t>
  </si>
  <si>
    <t>کیف گوتیک قلبی</t>
  </si>
  <si>
    <t>کیف گونیک قلب بال دار</t>
  </si>
  <si>
    <t>در گل دار</t>
  </si>
  <si>
    <t>هولدر دست</t>
  </si>
  <si>
    <t>رگال چند تکه</t>
  </si>
  <si>
    <t>جا کارتی دندون</t>
  </si>
  <si>
    <t>نگهدارنده ملافه</t>
  </si>
  <si>
    <t>جای دندون شیری</t>
  </si>
  <si>
    <t>صفحه گوتیک</t>
  </si>
  <si>
    <t>خفاش رو میزی</t>
  </si>
  <si>
    <t>دکوری  کوتیک کنج دیواری</t>
  </si>
  <si>
    <t>جا کلیدی دیواری گوتیک</t>
  </si>
  <si>
    <t>پوپ رو میزی</t>
  </si>
  <si>
    <t>دکوری  کوتیک صاف</t>
  </si>
  <si>
    <t>دویل گیرل اکسسوری</t>
  </si>
  <si>
    <t>گوشواره دینو اسکال</t>
  </si>
  <si>
    <t>ست هیولا</t>
  </si>
  <si>
    <t>جای سیم حروف</t>
  </si>
  <si>
    <t>گوشواره گل</t>
  </si>
  <si>
    <t>وان پیس</t>
  </si>
  <si>
    <t>شونه موهای فر</t>
  </si>
  <si>
    <t>چای رژ لب</t>
  </si>
  <si>
    <t>فیدجت</t>
  </si>
  <si>
    <t>چای کابل بال</t>
  </si>
  <si>
    <t>طرح نایک</t>
  </si>
  <si>
    <t>اکسسوری دریا</t>
  </si>
  <si>
    <t>گوشواره روتاری</t>
  </si>
  <si>
    <t>کلاه کابویی</t>
  </si>
  <si>
    <t>شیپ طوری</t>
  </si>
  <si>
    <t>کلیپس پروانه</t>
  </si>
  <si>
    <t>گوشواره دیویل ور پرادا</t>
  </si>
  <si>
    <t>انگشتر ژرمن شپرد</t>
  </si>
  <si>
    <t>گوشواره دلفین</t>
  </si>
  <si>
    <t>گوشواره ببر</t>
  </si>
  <si>
    <t>جاسویچی آیفون</t>
  </si>
  <si>
    <t>گوشواره اژدها</t>
  </si>
  <si>
    <t>گوشواره ایر جردن</t>
  </si>
  <si>
    <t>مار فلکسی</t>
  </si>
  <si>
    <t>مارملوک فلکسی</t>
  </si>
  <si>
    <t>اسکویید فلکسی</t>
  </si>
  <si>
    <t>کلیکر نون برنجی</t>
  </si>
  <si>
    <t>اختاپوس فلکسی</t>
  </si>
  <si>
    <t>خانواده کاکتوس</t>
  </si>
  <si>
    <t>شتر بیابونی</t>
  </si>
  <si>
    <t>افتاب پرست فلکسی</t>
  </si>
  <si>
    <t>گربه گوگلی فلکسی</t>
  </si>
  <si>
    <t>کوکر اسپنیول فلکسی</t>
  </si>
  <si>
    <t>دراگون فلکسی</t>
  </si>
  <si>
    <t>کوسه فلکسی</t>
  </si>
  <si>
    <t>کلیکر چمن ماینکرفت</t>
  </si>
  <si>
    <t>اسب آبی فلکسی</t>
  </si>
  <si>
    <t>گوربه اخمو</t>
  </si>
  <si>
    <t>قورباغه مه</t>
  </si>
  <si>
    <t>شیر دریایی بافت</t>
  </si>
  <si>
    <t>جغد بافت</t>
  </si>
  <si>
    <t xml:space="preserve">پیتبول </t>
  </si>
  <si>
    <t>فیدجت چرخونکی فنری</t>
  </si>
  <si>
    <t>ریل فینگر برد</t>
  </si>
  <si>
    <t>اسنوبرد فینگربرد</t>
  </si>
  <si>
    <t>آویز دیواری اسکیت برد</t>
  </si>
  <si>
    <t>آویز دیواری رول اسکیت</t>
  </si>
  <si>
    <t xml:space="preserve"> گربه سفره ای فلکسی</t>
  </si>
  <si>
    <t xml:space="preserve"> کالکشن فنری</t>
  </si>
  <si>
    <t xml:space="preserve"> اژدهای کریستالی فلکسی</t>
  </si>
  <si>
    <t xml:space="preserve"> اژدهای قلبی فلکسی</t>
  </si>
  <si>
    <t xml:space="preserve"> کالکشن گیتار</t>
  </si>
  <si>
    <t xml:space="preserve"> کالکشن حیوانات اسیر</t>
  </si>
  <si>
    <t>کالکشن باشگاه</t>
  </si>
  <si>
    <t xml:space="preserve"> کالکشن کلیکر خوراکی</t>
  </si>
  <si>
    <t xml:space="preserve"> کلیکر پنجه گربه</t>
  </si>
  <si>
    <t xml:space="preserve"> سگ بادکنکی</t>
  </si>
  <si>
    <t xml:space="preserve"> پودل مینیاتوری</t>
  </si>
  <si>
    <t xml:space="preserve"> کالکشن ریختنی</t>
  </si>
  <si>
    <t xml:space="preserve"> کالکشن دیم سام</t>
  </si>
  <si>
    <t xml:space="preserve"> کالکشن بچه فلکسی ها</t>
  </si>
  <si>
    <t xml:space="preserve"> کالکشن بافتنی</t>
  </si>
  <si>
    <t xml:space="preserve"> برگ</t>
  </si>
  <si>
    <t>توستر</t>
  </si>
  <si>
    <t xml:space="preserve"> ماینکرفت</t>
  </si>
  <si>
    <t xml:space="preserve"> سنگ باستانی</t>
  </si>
  <si>
    <t xml:space="preserve"> پترن</t>
  </si>
  <si>
    <t xml:space="preserve"> وزنه</t>
  </si>
  <si>
    <t xml:space="preserve"> درخت</t>
  </si>
  <si>
    <t xml:space="preserve"> بافتنی</t>
  </si>
  <si>
    <t xml:space="preserve"> پترن 2</t>
  </si>
  <si>
    <t xml:space="preserve"> بیسکوییت</t>
  </si>
  <si>
    <t xml:space="preserve"> گل فلکسی</t>
  </si>
  <si>
    <t>ژاپنی</t>
  </si>
  <si>
    <t xml:space="preserve"> بالش</t>
  </si>
  <si>
    <t xml:space="preserve"> نیلوفر آبی</t>
  </si>
  <si>
    <t xml:space="preserve"> گوسفند</t>
  </si>
  <si>
    <t xml:space="preserve"> گلدان</t>
  </si>
  <si>
    <t>پترن 3</t>
  </si>
  <si>
    <t xml:space="preserve"> هندسی</t>
  </si>
  <si>
    <t xml:space="preserve"> دونه برف</t>
  </si>
  <si>
    <t xml:space="preserve"> گرامافون</t>
  </si>
  <si>
    <t xml:space="preserve"> آویز دیواری 1</t>
  </si>
  <si>
    <t xml:space="preserve"> اسکیت پارک ماژولار</t>
  </si>
  <si>
    <t xml:space="preserve"> آویز دیواری 2</t>
  </si>
  <si>
    <t xml:space="preserve"> مینی پارک 1</t>
  </si>
  <si>
    <t xml:space="preserve"> مینی پارک 2</t>
  </si>
  <si>
    <t xml:space="preserve"> مینی پارک 3</t>
  </si>
  <si>
    <t xml:space="preserve"> ریل</t>
  </si>
  <si>
    <t>. مینی پارک 4</t>
  </si>
  <si>
    <t xml:space="preserve"> اسنوبرد انگشتی 1</t>
  </si>
  <si>
    <t xml:space="preserve"> اسنوبرد انگشتی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</si>
</sst>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h:m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4" fillId="4" borderId="0" applyNumberFormat="0" applyBorder="0" applyAlignment="0" applyProtection="0"/>
  </cellStyleXfs>
  <cellXfs count="39">
    <xf numFmtId="0" fontId="0" fillId="0" borderId="0" xfId="0"/>
    <xf numFmtId="2" fontId="0" fillId="0" borderId="0" xfId="0" applyNumberFormat="1"/>
    <xf numFmtId="3" fontId="0" fillId="0" borderId="0" xfId="0" applyNumberFormat="1"/>
    <xf numFmtId="10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5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3" fontId="0" fillId="0" borderId="8" xfId="0" applyNumberFormat="1" applyBorder="1"/>
    <xf numFmtId="4" fontId="0" fillId="0" borderId="10" xfId="0" applyNumberFormat="1" applyBorder="1"/>
    <xf numFmtId="3" fontId="0" fillId="0" borderId="12" xfId="0" applyNumberFormat="1" applyBorder="1"/>
    <xf numFmtId="164" fontId="0" fillId="0" borderId="0" xfId="0" applyNumberFormat="1"/>
    <xf numFmtId="0" fontId="0" fillId="0" borderId="0" xfId="0" applyAlignment="1">
      <alignment horizontal="center" vertical="top"/>
    </xf>
    <xf numFmtId="3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0" fillId="2" borderId="13" xfId="0" applyFill="1" applyBorder="1"/>
    <xf numFmtId="3" fontId="0" fillId="2" borderId="13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3" fontId="4" fillId="4" borderId="0" xfId="1" applyNumberFormat="1"/>
    <xf numFmtId="0" fontId="4" fillId="4" borderId="0" xfId="1"/>
    <xf numFmtId="3" fontId="1" fillId="0" borderId="1" xfId="0" applyNumberFormat="1" applyFont="1" applyBorder="1" applyAlignment="1">
      <alignment horizontal="center" vertical="top"/>
    </xf>
    <xf numFmtId="0" fontId="0" fillId="5" borderId="0" xfId="0" applyFill="1"/>
    <xf numFmtId="3" fontId="0" fillId="5" borderId="0" xfId="0" applyNumberFormat="1" applyFill="1"/>
    <xf numFmtId="165" fontId="0" fillId="0" borderId="0" xfId="0" applyNumberFormat="1"/>
    <xf numFmtId="0" fontId="3" fillId="0" borderId="0" xfId="0" applyFont="1" applyAlignment="1">
      <alignment horizontal="center" vertical="center" readingOrder="1"/>
    </xf>
  </cellXfs>
  <cellStyles count="2">
    <cellStyle name="Good" xfId="1" builtinId="26"/>
    <cellStyle name="Normal" xfId="0" builtinId="0"/>
  </cellStyles>
  <dxfs count="34">
    <dxf>
      <alignment horizontal="center" textRotation="0" wrapText="0" indent="0" justifyLastLine="0" shrinkToFit="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 diagonalUp="0" diagonalDown="0">
        <left style="medium">
          <color auto="1"/>
        </left>
        <right/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border diagonalUp="0" diagonalDown="0">
        <left/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border>
        <top style="medium">
          <color auto="1"/>
        </top>
      </border>
    </dxf>
    <dxf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 style="medium">
          <color auto="1"/>
        </horizontal>
      </border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[h]:mm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[Prodouct(AutoRecovered).xlsx]Chart!PivotTable5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Chart!$B$2</c:f>
              <c:strCache>
                <c:ptCount val="1"/>
                <c:pt idx="0">
                  <c:v>Sum of base price/t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Chart!$A$3:$A$34</c:f>
              <c:strCache>
                <c:ptCount val="31"/>
                <c:pt idx="0">
                  <c:v>PRO-0001</c:v>
                </c:pt>
                <c:pt idx="1">
                  <c:v>PRO-0002</c:v>
                </c:pt>
                <c:pt idx="2">
                  <c:v>PRO-0003</c:v>
                </c:pt>
                <c:pt idx="3">
                  <c:v>PRO-0004</c:v>
                </c:pt>
                <c:pt idx="4">
                  <c:v>PRO-0005</c:v>
                </c:pt>
                <c:pt idx="5">
                  <c:v>PRO-0006</c:v>
                </c:pt>
                <c:pt idx="6">
                  <c:v>PRO-0007</c:v>
                </c:pt>
                <c:pt idx="7">
                  <c:v>PRO-0008</c:v>
                </c:pt>
                <c:pt idx="8">
                  <c:v>PRO-0009</c:v>
                </c:pt>
                <c:pt idx="9">
                  <c:v>PRO-0010</c:v>
                </c:pt>
                <c:pt idx="10">
                  <c:v>PRO-0011</c:v>
                </c:pt>
                <c:pt idx="11">
                  <c:v>PRO-0012</c:v>
                </c:pt>
                <c:pt idx="12">
                  <c:v>PRO-0013</c:v>
                </c:pt>
                <c:pt idx="13">
                  <c:v>PRO-0014</c:v>
                </c:pt>
                <c:pt idx="14">
                  <c:v>PRO-0015</c:v>
                </c:pt>
                <c:pt idx="15">
                  <c:v>PRO-0016</c:v>
                </c:pt>
                <c:pt idx="16">
                  <c:v>PRO-0017</c:v>
                </c:pt>
                <c:pt idx="17">
                  <c:v>PRO-0018</c:v>
                </c:pt>
                <c:pt idx="18">
                  <c:v>PRO-0019</c:v>
                </c:pt>
                <c:pt idx="19">
                  <c:v>PRO-0020</c:v>
                </c:pt>
                <c:pt idx="20">
                  <c:v>PRO-0021</c:v>
                </c:pt>
                <c:pt idx="21">
                  <c:v>PRO-0022</c:v>
                </c:pt>
                <c:pt idx="22">
                  <c:v>PRO-0023</c:v>
                </c:pt>
                <c:pt idx="23">
                  <c:v>PRO-0024</c:v>
                </c:pt>
                <c:pt idx="24">
                  <c:v>PRO-0025</c:v>
                </c:pt>
                <c:pt idx="25">
                  <c:v>PRO-0026</c:v>
                </c:pt>
                <c:pt idx="26">
                  <c:v>PRO-0027</c:v>
                </c:pt>
                <c:pt idx="27">
                  <c:v>PRO-0028</c:v>
                </c:pt>
                <c:pt idx="28">
                  <c:v>PRO-0029</c:v>
                </c:pt>
                <c:pt idx="29">
                  <c:v>PRO-0030</c:v>
                </c:pt>
                <c:pt idx="30">
                  <c:v>(blank)</c:v>
                </c:pt>
              </c:strCache>
            </c:strRef>
          </c:cat>
          <c:val>
            <c:numRef>
              <c:f>Chart!$B$3:$B$34</c:f>
              <c:numCache>
                <c:formatCode>#,##0</c:formatCode>
                <c:ptCount val="31"/>
                <c:pt idx="0">
                  <c:v>9434.650333333333</c:v>
                </c:pt>
                <c:pt idx="1">
                  <c:v>467768.81970000005</c:v>
                </c:pt>
                <c:pt idx="2">
                  <c:v>16882.620299999999</c:v>
                </c:pt>
                <c:pt idx="3">
                  <c:v>297322.71659999999</c:v>
                </c:pt>
                <c:pt idx="4">
                  <c:v>753568.6976999999</c:v>
                </c:pt>
                <c:pt idx="5">
                  <c:v>260843.11890000006</c:v>
                </c:pt>
                <c:pt idx="6">
                  <c:v>14649.125400000001</c:v>
                </c:pt>
                <c:pt idx="7">
                  <c:v>20542.567500000001</c:v>
                </c:pt>
                <c:pt idx="8">
                  <c:v>17075.986199999999</c:v>
                </c:pt>
                <c:pt idx="9">
                  <c:v>284457.53700000001</c:v>
                </c:pt>
                <c:pt idx="10">
                  <c:v>12408.0957</c:v>
                </c:pt>
                <c:pt idx="11">
                  <c:v>291179.88899999997</c:v>
                </c:pt>
                <c:pt idx="12">
                  <c:v>484386.08399999997</c:v>
                </c:pt>
                <c:pt idx="13">
                  <c:v>68446.287000000011</c:v>
                </c:pt>
                <c:pt idx="14">
                  <c:v>101280.57030000001</c:v>
                </c:pt>
                <c:pt idx="15">
                  <c:v>105385.15260000003</c:v>
                </c:pt>
                <c:pt idx="16">
                  <c:v>48885.372900000002</c:v>
                </c:pt>
                <c:pt idx="17">
                  <c:v>187921.02420000001</c:v>
                </c:pt>
                <c:pt idx="18">
                  <c:v>93757.891499999998</c:v>
                </c:pt>
                <c:pt idx="19">
                  <c:v>170017.76610000001</c:v>
                </c:pt>
                <c:pt idx="20">
                  <c:v>23055.668999999994</c:v>
                </c:pt>
                <c:pt idx="21">
                  <c:v>66621.964500000002</c:v>
                </c:pt>
                <c:pt idx="22">
                  <c:v>290008.5552</c:v>
                </c:pt>
                <c:pt idx="23">
                  <c:v>367655.48820000008</c:v>
                </c:pt>
                <c:pt idx="24">
                  <c:v>8305.2332999999999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6-4197-AD4B-E56CCC855337}"/>
            </c:ext>
          </c:extLst>
        </c:ser>
        <c:ser>
          <c:idx val="1"/>
          <c:order val="1"/>
          <c:tx>
            <c:strRef>
              <c:f>Chart!$C$2</c:f>
              <c:strCache>
                <c:ptCount val="1"/>
                <c:pt idx="0">
                  <c:v>Sum of Matrial/t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Chart!$A$3:$A$34</c:f>
              <c:strCache>
                <c:ptCount val="31"/>
                <c:pt idx="0">
                  <c:v>PRO-0001</c:v>
                </c:pt>
                <c:pt idx="1">
                  <c:v>PRO-0002</c:v>
                </c:pt>
                <c:pt idx="2">
                  <c:v>PRO-0003</c:v>
                </c:pt>
                <c:pt idx="3">
                  <c:v>PRO-0004</c:v>
                </c:pt>
                <c:pt idx="4">
                  <c:v>PRO-0005</c:v>
                </c:pt>
                <c:pt idx="5">
                  <c:v>PRO-0006</c:v>
                </c:pt>
                <c:pt idx="6">
                  <c:v>PRO-0007</c:v>
                </c:pt>
                <c:pt idx="7">
                  <c:v>PRO-0008</c:v>
                </c:pt>
                <c:pt idx="8">
                  <c:v>PRO-0009</c:v>
                </c:pt>
                <c:pt idx="9">
                  <c:v>PRO-0010</c:v>
                </c:pt>
                <c:pt idx="10">
                  <c:v>PRO-0011</c:v>
                </c:pt>
                <c:pt idx="11">
                  <c:v>PRO-0012</c:v>
                </c:pt>
                <c:pt idx="12">
                  <c:v>PRO-0013</c:v>
                </c:pt>
                <c:pt idx="13">
                  <c:v>PRO-0014</c:v>
                </c:pt>
                <c:pt idx="14">
                  <c:v>PRO-0015</c:v>
                </c:pt>
                <c:pt idx="15">
                  <c:v>PRO-0016</c:v>
                </c:pt>
                <c:pt idx="16">
                  <c:v>PRO-0017</c:v>
                </c:pt>
                <c:pt idx="17">
                  <c:v>PRO-0018</c:v>
                </c:pt>
                <c:pt idx="18">
                  <c:v>PRO-0019</c:v>
                </c:pt>
                <c:pt idx="19">
                  <c:v>PRO-0020</c:v>
                </c:pt>
                <c:pt idx="20">
                  <c:v>PRO-0021</c:v>
                </c:pt>
                <c:pt idx="21">
                  <c:v>PRO-0022</c:v>
                </c:pt>
                <c:pt idx="22">
                  <c:v>PRO-0023</c:v>
                </c:pt>
                <c:pt idx="23">
                  <c:v>PRO-0024</c:v>
                </c:pt>
                <c:pt idx="24">
                  <c:v>PRO-0025</c:v>
                </c:pt>
                <c:pt idx="25">
                  <c:v>PRO-0026</c:v>
                </c:pt>
                <c:pt idx="26">
                  <c:v>PRO-0027</c:v>
                </c:pt>
                <c:pt idx="27">
                  <c:v>PRO-0028</c:v>
                </c:pt>
                <c:pt idx="28">
                  <c:v>PRO-0029</c:v>
                </c:pt>
                <c:pt idx="29">
                  <c:v>PRO-0030</c:v>
                </c:pt>
                <c:pt idx="30">
                  <c:v>(blank)</c:v>
                </c:pt>
              </c:strCache>
            </c:strRef>
          </c:cat>
          <c:val>
            <c:numRef>
              <c:f>Chart!$C$3:$C$34</c:f>
              <c:numCache>
                <c:formatCode>#,##0</c:formatCode>
                <c:ptCount val="31"/>
                <c:pt idx="0">
                  <c:v>3430.3500000000004</c:v>
                </c:pt>
                <c:pt idx="1">
                  <c:v>225588.82500000004</c:v>
                </c:pt>
                <c:pt idx="2">
                  <c:v>6704.7750000000005</c:v>
                </c:pt>
                <c:pt idx="3">
                  <c:v>164899.34999999998</c:v>
                </c:pt>
                <c:pt idx="4">
                  <c:v>366085.125</c:v>
                </c:pt>
                <c:pt idx="5">
                  <c:v>135515.625</c:v>
                </c:pt>
                <c:pt idx="6">
                  <c:v>5647.95</c:v>
                </c:pt>
                <c:pt idx="7">
                  <c:v>7536.3749999999991</c:v>
                </c:pt>
                <c:pt idx="8">
                  <c:v>4539.1499999999996</c:v>
                </c:pt>
                <c:pt idx="9">
                  <c:v>116320.05000000002</c:v>
                </c:pt>
                <c:pt idx="10">
                  <c:v>5907.8249999999998</c:v>
                </c:pt>
                <c:pt idx="11">
                  <c:v>151247.25</c:v>
                </c:pt>
                <c:pt idx="12">
                  <c:v>266805</c:v>
                </c:pt>
                <c:pt idx="13">
                  <c:v>32813.550000000003</c:v>
                </c:pt>
                <c:pt idx="14">
                  <c:v>46829.474999999999</c:v>
                </c:pt>
                <c:pt idx="15">
                  <c:v>56929.950000000004</c:v>
                </c:pt>
                <c:pt idx="16">
                  <c:v>23717.924999999999</c:v>
                </c:pt>
                <c:pt idx="17">
                  <c:v>106202.25</c:v>
                </c:pt>
                <c:pt idx="18">
                  <c:v>48977.775000000001</c:v>
                </c:pt>
                <c:pt idx="19">
                  <c:v>80197.425000000003</c:v>
                </c:pt>
                <c:pt idx="20">
                  <c:v>11122.65</c:v>
                </c:pt>
                <c:pt idx="21">
                  <c:v>31410.225000000002</c:v>
                </c:pt>
                <c:pt idx="22">
                  <c:v>158281.20000000001</c:v>
                </c:pt>
                <c:pt idx="23">
                  <c:v>188253.45</c:v>
                </c:pt>
                <c:pt idx="24">
                  <c:v>3413.0250000000001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F6-4197-AD4B-E56CCC855337}"/>
            </c:ext>
          </c:extLst>
        </c:ser>
        <c:ser>
          <c:idx val="2"/>
          <c:order val="2"/>
          <c:tx>
            <c:strRef>
              <c:f>Chart!$D$2</c:f>
              <c:strCache>
                <c:ptCount val="1"/>
                <c:pt idx="0">
                  <c:v>Sum of Gross margin/t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Chart!$A$3:$A$34</c:f>
              <c:strCache>
                <c:ptCount val="31"/>
                <c:pt idx="0">
                  <c:v>PRO-0001</c:v>
                </c:pt>
                <c:pt idx="1">
                  <c:v>PRO-0002</c:v>
                </c:pt>
                <c:pt idx="2">
                  <c:v>PRO-0003</c:v>
                </c:pt>
                <c:pt idx="3">
                  <c:v>PRO-0004</c:v>
                </c:pt>
                <c:pt idx="4">
                  <c:v>PRO-0005</c:v>
                </c:pt>
                <c:pt idx="5">
                  <c:v>PRO-0006</c:v>
                </c:pt>
                <c:pt idx="6">
                  <c:v>PRO-0007</c:v>
                </c:pt>
                <c:pt idx="7">
                  <c:v>PRO-0008</c:v>
                </c:pt>
                <c:pt idx="8">
                  <c:v>PRO-0009</c:v>
                </c:pt>
                <c:pt idx="9">
                  <c:v>PRO-0010</c:v>
                </c:pt>
                <c:pt idx="10">
                  <c:v>PRO-0011</c:v>
                </c:pt>
                <c:pt idx="11">
                  <c:v>PRO-0012</c:v>
                </c:pt>
                <c:pt idx="12">
                  <c:v>PRO-0013</c:v>
                </c:pt>
                <c:pt idx="13">
                  <c:v>PRO-0014</c:v>
                </c:pt>
                <c:pt idx="14">
                  <c:v>PRO-0015</c:v>
                </c:pt>
                <c:pt idx="15">
                  <c:v>PRO-0016</c:v>
                </c:pt>
                <c:pt idx="16">
                  <c:v>PRO-0017</c:v>
                </c:pt>
                <c:pt idx="17">
                  <c:v>PRO-0018</c:v>
                </c:pt>
                <c:pt idx="18">
                  <c:v>PRO-0019</c:v>
                </c:pt>
                <c:pt idx="19">
                  <c:v>PRO-0020</c:v>
                </c:pt>
                <c:pt idx="20">
                  <c:v>PRO-0021</c:v>
                </c:pt>
                <c:pt idx="21">
                  <c:v>PRO-0022</c:v>
                </c:pt>
                <c:pt idx="22">
                  <c:v>PRO-0023</c:v>
                </c:pt>
                <c:pt idx="23">
                  <c:v>PRO-0024</c:v>
                </c:pt>
                <c:pt idx="24">
                  <c:v>PRO-0025</c:v>
                </c:pt>
                <c:pt idx="25">
                  <c:v>PRO-0026</c:v>
                </c:pt>
                <c:pt idx="26">
                  <c:v>PRO-0027</c:v>
                </c:pt>
                <c:pt idx="27">
                  <c:v>PRO-0028</c:v>
                </c:pt>
                <c:pt idx="28">
                  <c:v>PRO-0029</c:v>
                </c:pt>
                <c:pt idx="29">
                  <c:v>PRO-0030</c:v>
                </c:pt>
                <c:pt idx="30">
                  <c:v>(blank)</c:v>
                </c:pt>
              </c:strCache>
            </c:strRef>
          </c:cat>
          <c:val>
            <c:numRef>
              <c:f>Chart!$D$3:$D$34</c:f>
              <c:numCache>
                <c:formatCode>#,##0</c:formatCode>
                <c:ptCount val="31"/>
                <c:pt idx="0">
                  <c:v>18869.30066666667</c:v>
                </c:pt>
                <c:pt idx="1">
                  <c:v>935537.63939999999</c:v>
                </c:pt>
                <c:pt idx="2">
                  <c:v>33765.240600000005</c:v>
                </c:pt>
                <c:pt idx="3">
                  <c:v>594645.43320000009</c:v>
                </c:pt>
                <c:pt idx="4">
                  <c:v>1507137.3953999998</c:v>
                </c:pt>
                <c:pt idx="5">
                  <c:v>521686.23780000006</c:v>
                </c:pt>
                <c:pt idx="6">
                  <c:v>29298.250799999998</c:v>
                </c:pt>
                <c:pt idx="7">
                  <c:v>41085.134999999995</c:v>
                </c:pt>
                <c:pt idx="8">
                  <c:v>34151.972399999999</c:v>
                </c:pt>
                <c:pt idx="9">
                  <c:v>568915.07400000002</c:v>
                </c:pt>
                <c:pt idx="10">
                  <c:v>24816.191400000003</c:v>
                </c:pt>
                <c:pt idx="11">
                  <c:v>582359.77799999993</c:v>
                </c:pt>
                <c:pt idx="12">
                  <c:v>968772.16799999983</c:v>
                </c:pt>
                <c:pt idx="13">
                  <c:v>136892.57400000002</c:v>
                </c:pt>
                <c:pt idx="14">
                  <c:v>202561.14059999998</c:v>
                </c:pt>
                <c:pt idx="15">
                  <c:v>210770.30520000006</c:v>
                </c:pt>
                <c:pt idx="16">
                  <c:v>97770.74579999999</c:v>
                </c:pt>
                <c:pt idx="17">
                  <c:v>375842.04840000009</c:v>
                </c:pt>
                <c:pt idx="18">
                  <c:v>187515.78299999997</c:v>
                </c:pt>
                <c:pt idx="19">
                  <c:v>340035.53220000002</c:v>
                </c:pt>
                <c:pt idx="20">
                  <c:v>46111.337999999989</c:v>
                </c:pt>
                <c:pt idx="21">
                  <c:v>133243.929</c:v>
                </c:pt>
                <c:pt idx="22">
                  <c:v>580017.11039999989</c:v>
                </c:pt>
                <c:pt idx="23">
                  <c:v>735310.97640000028</c:v>
                </c:pt>
                <c:pt idx="24">
                  <c:v>16610.4666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F6-4197-AD4B-E56CCC855337}"/>
            </c:ext>
          </c:extLst>
        </c:ser>
        <c:ser>
          <c:idx val="3"/>
          <c:order val="3"/>
          <c:tx>
            <c:strRef>
              <c:f>Chart!$E$2</c:f>
              <c:strCache>
                <c:ptCount val="1"/>
                <c:pt idx="0">
                  <c:v>Sum of margin %/t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Chart!$A$3:$A$34</c:f>
              <c:strCache>
                <c:ptCount val="31"/>
                <c:pt idx="0">
                  <c:v>PRO-0001</c:v>
                </c:pt>
                <c:pt idx="1">
                  <c:v>PRO-0002</c:v>
                </c:pt>
                <c:pt idx="2">
                  <c:v>PRO-0003</c:v>
                </c:pt>
                <c:pt idx="3">
                  <c:v>PRO-0004</c:v>
                </c:pt>
                <c:pt idx="4">
                  <c:v>PRO-0005</c:v>
                </c:pt>
                <c:pt idx="5">
                  <c:v>PRO-0006</c:v>
                </c:pt>
                <c:pt idx="6">
                  <c:v>PRO-0007</c:v>
                </c:pt>
                <c:pt idx="7">
                  <c:v>PRO-0008</c:v>
                </c:pt>
                <c:pt idx="8">
                  <c:v>PRO-0009</c:v>
                </c:pt>
                <c:pt idx="9">
                  <c:v>PRO-0010</c:v>
                </c:pt>
                <c:pt idx="10">
                  <c:v>PRO-0011</c:v>
                </c:pt>
                <c:pt idx="11">
                  <c:v>PRO-0012</c:v>
                </c:pt>
                <c:pt idx="12">
                  <c:v>PRO-0013</c:v>
                </c:pt>
                <c:pt idx="13">
                  <c:v>PRO-0014</c:v>
                </c:pt>
                <c:pt idx="14">
                  <c:v>PRO-0015</c:v>
                </c:pt>
                <c:pt idx="15">
                  <c:v>PRO-0016</c:v>
                </c:pt>
                <c:pt idx="16">
                  <c:v>PRO-0017</c:v>
                </c:pt>
                <c:pt idx="17">
                  <c:v>PRO-0018</c:v>
                </c:pt>
                <c:pt idx="18">
                  <c:v>PRO-0019</c:v>
                </c:pt>
                <c:pt idx="19">
                  <c:v>PRO-0020</c:v>
                </c:pt>
                <c:pt idx="20">
                  <c:v>PRO-0021</c:v>
                </c:pt>
                <c:pt idx="21">
                  <c:v>PRO-0022</c:v>
                </c:pt>
                <c:pt idx="22">
                  <c:v>PRO-0023</c:v>
                </c:pt>
                <c:pt idx="23">
                  <c:v>PRO-0024</c:v>
                </c:pt>
                <c:pt idx="24">
                  <c:v>PRO-0025</c:v>
                </c:pt>
                <c:pt idx="25">
                  <c:v>PRO-0026</c:v>
                </c:pt>
                <c:pt idx="26">
                  <c:v>PRO-0027</c:v>
                </c:pt>
                <c:pt idx="27">
                  <c:v>PRO-0028</c:v>
                </c:pt>
                <c:pt idx="28">
                  <c:v>PRO-0029</c:v>
                </c:pt>
                <c:pt idx="29">
                  <c:v>PRO-0030</c:v>
                </c:pt>
                <c:pt idx="30">
                  <c:v>(blank)</c:v>
                </c:pt>
              </c:strCache>
            </c:strRef>
          </c:cat>
          <c:val>
            <c:numRef>
              <c:f>Chart!$E$3:$E$34</c:f>
              <c:numCache>
                <c:formatCode>0.00%</c:formatCode>
                <c:ptCount val="31"/>
                <c:pt idx="0">
                  <c:v>2.0000000000000004</c:v>
                </c:pt>
                <c:pt idx="1">
                  <c:v>1.9999999999999998</c:v>
                </c:pt>
                <c:pt idx="2">
                  <c:v>2.0000000000000004</c:v>
                </c:pt>
                <c:pt idx="3">
                  <c:v>2.0000000000000004</c:v>
                </c:pt>
                <c:pt idx="4">
                  <c:v>2</c:v>
                </c:pt>
                <c:pt idx="5">
                  <c:v>1.9999999999999998</c:v>
                </c:pt>
                <c:pt idx="6">
                  <c:v>1.9999999999999998</c:v>
                </c:pt>
                <c:pt idx="7">
                  <c:v>1.9999999999999996</c:v>
                </c:pt>
                <c:pt idx="8">
                  <c:v>2</c:v>
                </c:pt>
                <c:pt idx="9">
                  <c:v>2</c:v>
                </c:pt>
                <c:pt idx="10">
                  <c:v>2.0000000000000004</c:v>
                </c:pt>
                <c:pt idx="11">
                  <c:v>2</c:v>
                </c:pt>
                <c:pt idx="12">
                  <c:v>1.9999999999999998</c:v>
                </c:pt>
                <c:pt idx="13">
                  <c:v>2</c:v>
                </c:pt>
                <c:pt idx="14">
                  <c:v>1.9999999999999998</c:v>
                </c:pt>
                <c:pt idx="15">
                  <c:v>2</c:v>
                </c:pt>
                <c:pt idx="16">
                  <c:v>1.9999999999999998</c:v>
                </c:pt>
                <c:pt idx="17">
                  <c:v>2.0000000000000004</c:v>
                </c:pt>
                <c:pt idx="18">
                  <c:v>1.9999999999999998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1.9999999999999996</c:v>
                </c:pt>
                <c:pt idx="23">
                  <c:v>2.0000000000000004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F6-4197-AD4B-E56CCC855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6882496"/>
        <c:axId val="792967696"/>
      </c:barChart>
      <c:catAx>
        <c:axId val="59688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967696"/>
        <c:crosses val="autoZero"/>
        <c:auto val="1"/>
        <c:lblAlgn val="ctr"/>
        <c:lblOffset val="100"/>
        <c:noMultiLvlLbl val="0"/>
      </c:catAx>
      <c:valAx>
        <c:axId val="79296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88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2</xdr:row>
      <xdr:rowOff>128586</xdr:rowOff>
    </xdr:from>
    <xdr:to>
      <xdr:col>26</xdr:col>
      <xdr:colOff>47625</xdr:colOff>
      <xdr:row>36</xdr:row>
      <xdr:rowOff>76199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E1EB74-2313-A1DA-A542-765F30FA5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bod marzban" refreshedDate="45950.920974768516" createdVersion="8" refreshedVersion="8" minRefreshableVersion="3" recordCount="48" xr:uid="{00000000-000A-0000-FFFF-FFFF03000000}">
  <cacheSource type="worksheet">
    <worksheetSource name="Jobs"/>
  </cacheSource>
  <cacheFields count="23">
    <cacheField name="Product ID" numFmtId="0">
      <sharedItems containsBlank="1" count="31">
        <s v="PRO-0001"/>
        <s v="PRO-0002"/>
        <s v="PRO-0003"/>
        <s v="PRO-0004"/>
        <s v="PRO-0005"/>
        <s v="PRO-0006"/>
        <s v="PRO-0007"/>
        <s v="PRO-0008"/>
        <s v="PRO-0009"/>
        <s v="PRO-0010"/>
        <s v="PRO-0011"/>
        <s v="PRO-0012"/>
        <s v="PRO-0013"/>
        <s v="PRO-0014"/>
        <s v="PRO-0015"/>
        <s v="PRO-0016"/>
        <s v="PRO-0017"/>
        <s v="PRO-0018"/>
        <s v="PRO-0019"/>
        <s v="PRO-0020"/>
        <s v="PRO-0021"/>
        <s v="PRO-0022"/>
        <s v="PRO-0023"/>
        <s v="PRO-0024"/>
        <s v="PRO-0025"/>
        <s v="PRO-0026"/>
        <s v="PRO-0027"/>
        <s v="PRO-0028"/>
        <s v="PRO-0029"/>
        <s v="PRO-0030"/>
        <m/>
      </sharedItems>
    </cacheField>
    <cacheField name="Product" numFmtId="0">
      <sharedItems containsBlank="1"/>
    </cacheField>
    <cacheField name="Qty" numFmtId="0">
      <sharedItems containsString="0" containsBlank="1" containsNumber="1" containsInteger="1" minValue="1" maxValue="1"/>
    </cacheField>
    <cacheField name="Machine" numFmtId="0">
      <sharedItems containsBlank="1"/>
    </cacheField>
    <cacheField name="Material" numFmtId="0">
      <sharedItems containsBlank="1"/>
    </cacheField>
    <cacheField name="color" numFmtId="0">
      <sharedItems containsBlank="1"/>
    </cacheField>
    <cacheField name="Wight/g" numFmtId="2">
      <sharedItems containsString="0" containsBlank="1" containsNumber="1" minValue="1.97" maxValue="157.22999999999999"/>
    </cacheField>
    <cacheField name="Support/g" numFmtId="2">
      <sharedItems containsString="0" containsBlank="1" containsNumber="1" minValue="0" maxValue="41.77"/>
    </cacheField>
    <cacheField name="Flushed/g" numFmtId="2">
      <sharedItems containsString="0" containsBlank="1" containsNumber="1" minValue="0" maxValue="0.71"/>
    </cacheField>
    <cacheField name="Print/h" numFmtId="0">
      <sharedItems containsNonDate="0" containsDate="1" containsString="0" containsBlank="1" minDate="1899-12-30T00:09:00" maxDate="1899-12-30T10:46:00"/>
    </cacheField>
    <cacheField name="Post Pro/h" numFmtId="0">
      <sharedItems containsNonDate="0" containsDate="1" containsString="0" containsBlank="1" minDate="1899-12-30T00:05:00" maxDate="1899-12-30T00:05:00"/>
    </cacheField>
    <cacheField name="Extras" numFmtId="0">
      <sharedItems containsNonDate="0" containsString="0" containsBlank="1"/>
    </cacheField>
    <cacheField name="Matrial/t" numFmtId="3">
      <sharedItems containsSemiMixedTypes="0" containsString="0" containsNumber="1" minValue="0" maxValue="366085.125"/>
    </cacheField>
    <cacheField name="power/t" numFmtId="3">
      <sharedItems containsSemiMixedTypes="0" containsString="0" containsNumber="1" minValue="0" maxValue="1049.104"/>
    </cacheField>
    <cacheField name="downturn/t" numFmtId="3">
      <sharedItems containsSemiMixedTypes="0" containsString="0" containsNumber="1" minValue="0" maxValue="202413.33333333334"/>
    </cacheField>
    <cacheField name="Maintenance/t" numFmtId="3">
      <sharedItems containsSemiMixedTypes="0" containsString="0" containsNumber="1" minValue="0" maxValue="10120.666666666668"/>
    </cacheField>
    <cacheField name="Coloring/t" numFmtId="3">
      <sharedItems containsSemiMixedTypes="0" containsString="0" containsNumber="1" minValue="0" maxValue="520.83333333333326"/>
    </cacheField>
    <cacheField name="overhead/t" numFmtId="3">
      <sharedItems containsSemiMixedTypes="0" containsString="0" containsNumber="1" minValue="0" maxValue="173900.46869999997"/>
    </cacheField>
    <cacheField name="base price/t" numFmtId="3">
      <sharedItems containsSemiMixedTypes="0" containsString="0" containsNumber="1" minValue="0" maxValue="753568.6976999999"/>
    </cacheField>
    <cacheField name="Sugested Price/t" numFmtId="3">
      <sharedItems containsSemiMixedTypes="0" containsString="0" containsNumber="1" minValue="0" maxValue="2260706.0930999997"/>
    </cacheField>
    <cacheField name="Final Price/t" numFmtId="3">
      <sharedItems containsNonDate="0" containsString="0" containsBlank="1"/>
    </cacheField>
    <cacheField name="Gross margin/t" numFmtId="3">
      <sharedItems containsSemiMixedTypes="0" containsString="0" containsNumber="1" minValue="0" maxValue="1507137.3953999998"/>
    </cacheField>
    <cacheField name="margin %/t" numFmtId="10">
      <sharedItems containsSemiMixedTypes="0" containsString="0" containsNumber="1" minValue="0" maxValue="2.000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s v="Crucifix Acc"/>
    <n v="1"/>
    <s v="Anycubic Kobra S1"/>
    <s v="PLA"/>
    <s v="gold black"/>
    <n v="1.98"/>
    <n v="0"/>
    <n v="0"/>
    <d v="1899-12-30T00:10:00"/>
    <d v="1899-12-30T00:05:00"/>
    <m/>
    <n v="3430.3500000000004"/>
    <n v="16.239999999999998"/>
    <n v="3133.333333333333"/>
    <n v="156.66666666666666"/>
    <n v="520.83333333333326"/>
    <n v="2177.2269999999999"/>
    <n v="9434.650333333333"/>
    <n v="28303.951000000001"/>
    <m/>
    <n v="18869.30066666667"/>
    <n v="2.0000000000000004"/>
  </r>
  <r>
    <x v="1"/>
    <s v="omi mask"/>
    <n v="1"/>
    <s v="Anycubic Kobra S1"/>
    <s v="PLA"/>
    <s v="Red"/>
    <n v="106.96000000000001"/>
    <n v="23.25"/>
    <n v="0"/>
    <d v="1899-12-30T06:46:00"/>
    <m/>
    <m/>
    <n v="225588.82500000004"/>
    <n v="659.34399999999994"/>
    <n v="127213.33333333333"/>
    <n v="6360.666666666667"/>
    <n v="0"/>
    <n v="107946.65070000001"/>
    <n v="467768.81970000005"/>
    <n v="1403306.4591000001"/>
    <m/>
    <n v="935537.63939999999"/>
    <n v="1.9999999999999998"/>
  </r>
  <r>
    <x v="2"/>
    <s v="Angry Ghost earring"/>
    <n v="1"/>
    <s v="Anycubic Kobra S1"/>
    <s v="PLA"/>
    <s v="Red"/>
    <n v="3.87"/>
    <n v="0"/>
    <n v="0"/>
    <d v="1899-12-30T00:19:00"/>
    <m/>
    <m/>
    <n v="6704.7750000000005"/>
    <n v="30.855999999999998"/>
    <n v="5953.333333333333"/>
    <n v="297.66666666666663"/>
    <n v="0"/>
    <n v="3895.9892999999997"/>
    <n v="16882.620299999999"/>
    <n v="50647.8609"/>
    <m/>
    <n v="33765.240600000005"/>
    <n v="2.0000000000000004"/>
  </r>
  <r>
    <x v="3"/>
    <s v="FRIENDLY GHOST TRIO  TEALIGHT"/>
    <n v="1"/>
    <s v="Anycubic Kobra S1"/>
    <s v="PLA"/>
    <s v="white"/>
    <n v="85.44"/>
    <n v="9.74"/>
    <n v="0"/>
    <d v="1899-12-30T03:13:00"/>
    <m/>
    <m/>
    <n v="164899.34999999998"/>
    <n v="313.43200000000002"/>
    <n v="60473.333333333336"/>
    <n v="3023.666666666667"/>
    <n v="0"/>
    <n v="68612.934599999993"/>
    <n v="297322.71659999999"/>
    <n v="891968.14980000001"/>
    <m/>
    <n v="594645.43320000009"/>
    <n v="2.0000000000000004"/>
  </r>
  <r>
    <x v="4"/>
    <s v="Skeleton hands skull mask"/>
    <n v="1"/>
    <s v="Anycubic Kobra S1"/>
    <s v="PLA silk"/>
    <s v="gold black"/>
    <n v="157.22999999999999"/>
    <n v="41.77"/>
    <n v="0.23"/>
    <d v="1899-12-30T10:46:00"/>
    <m/>
    <m/>
    <n v="366085.125"/>
    <n v="1049.104"/>
    <n v="202413.33333333334"/>
    <n v="10120.666666666668"/>
    <n v="0"/>
    <n v="173900.46869999997"/>
    <n v="753568.6976999999"/>
    <n v="2260706.0930999997"/>
    <m/>
    <n v="1507137.3953999998"/>
    <n v="2"/>
  </r>
  <r>
    <x v="5"/>
    <s v="Skeleton Mask of the Forgotten"/>
    <n v="1"/>
    <s v="Anycubic Kobra S1"/>
    <s v="PLA silk"/>
    <s v="gold black"/>
    <n v="73.040000000000006"/>
    <n v="0"/>
    <n v="0.71"/>
    <d v="1899-12-30T03:17:00"/>
    <m/>
    <m/>
    <n v="135515.625"/>
    <n v="319.928"/>
    <n v="61726.666666666672"/>
    <n v="3086.3333333333335"/>
    <n v="0"/>
    <n v="60194.565900000009"/>
    <n v="260843.11890000006"/>
    <n v="782529.35670000012"/>
    <m/>
    <n v="521686.23780000006"/>
    <n v="1.9999999999999998"/>
  </r>
  <r>
    <x v="6"/>
    <s v="Jack o lanterns Earrings"/>
    <n v="1"/>
    <s v="Anycubic Kobra S1"/>
    <s v="PLA"/>
    <s v="Red"/>
    <n v="3.26"/>
    <n v="0"/>
    <n v="0"/>
    <d v="1899-12-30T00:17:00"/>
    <m/>
    <m/>
    <n v="5647.95"/>
    <n v="27.607999999999997"/>
    <n v="5326.666666666667"/>
    <n v="266.33333333333331"/>
    <n v="0"/>
    <n v="3380.5674000000004"/>
    <n v="14649.125400000001"/>
    <n v="43947.376199999999"/>
    <m/>
    <n v="29298.250799999998"/>
    <n v="1.9999999999999998"/>
  </r>
  <r>
    <x v="7"/>
    <s v="Mario Ghost"/>
    <n v="1"/>
    <s v="Anycubic Kobra S1"/>
    <s v="PLA"/>
    <s v="white"/>
    <n v="3.32"/>
    <n v="0.76"/>
    <n v="0.27"/>
    <d v="1899-12-30T00:25:00"/>
    <m/>
    <m/>
    <n v="7536.3749999999991"/>
    <n v="40.6"/>
    <n v="7833.3333333333339"/>
    <n v="391.66666666666669"/>
    <n v="0"/>
    <n v="4740.5924999999997"/>
    <n v="20542.567500000001"/>
    <n v="61627.702499999999"/>
    <m/>
    <n v="41085.134999999995"/>
    <n v="1.9999999999999996"/>
  </r>
  <r>
    <x v="8"/>
    <s v="Mexican Skull"/>
    <n v="1"/>
    <s v="Anycubic Kobra S1"/>
    <s v="PLA"/>
    <s v="Black"/>
    <n v="2.5499999999999998"/>
    <n v="0"/>
    <n v="7.0000000000000007E-2"/>
    <d v="1899-12-30T00:26:00"/>
    <m/>
    <m/>
    <n v="4539.1499999999996"/>
    <n v="42.22399999999999"/>
    <n v="8146.6666666666661"/>
    <n v="407.33333333333331"/>
    <n v="0"/>
    <n v="3940.6121999999996"/>
    <n v="17075.986199999999"/>
    <n v="51227.958599999998"/>
    <m/>
    <n v="34151.972399999999"/>
    <n v="2"/>
  </r>
  <r>
    <x v="9"/>
    <s v="Elvan Tiara"/>
    <n v="1"/>
    <s v="Anycubic Kobra S1"/>
    <s v="PLA"/>
    <s v="white"/>
    <n v="44.55"/>
    <n v="22.32"/>
    <n v="0.27"/>
    <d v="1899-12-30T05:10:00"/>
    <m/>
    <m/>
    <n v="116320.05000000002"/>
    <n v="503.44"/>
    <n v="97133.333333333343"/>
    <n v="4856.666666666667"/>
    <n v="0"/>
    <n v="65644.047000000006"/>
    <n v="284457.53700000001"/>
    <n v="853372.61100000003"/>
    <m/>
    <n v="568915.07400000002"/>
    <n v="2"/>
  </r>
  <r>
    <x v="10"/>
    <s v="Bat Earing"/>
    <n v="1"/>
    <s v="Anycubic Kobra S1"/>
    <s v="PLA"/>
    <s v="Red"/>
    <n v="3.41"/>
    <n v="0"/>
    <n v="0"/>
    <d v="1899-12-30T00:11:00"/>
    <m/>
    <m/>
    <n v="5907.8249999999998"/>
    <n v="17.863999999999997"/>
    <n v="3446.6666666666665"/>
    <n v="172.33333333333331"/>
    <n v="0"/>
    <n v="2863.4067"/>
    <n v="12408.0957"/>
    <n v="37224.287100000001"/>
    <m/>
    <n v="24816.191400000003"/>
    <n v="2.0000000000000004"/>
  </r>
  <r>
    <x v="11"/>
    <s v="Pumpkin Tealight 3x"/>
    <n v="1"/>
    <s v="Anycubic Kobra S1"/>
    <s v="PLA"/>
    <s v="orange"/>
    <n v="87.05"/>
    <n v="0"/>
    <n v="0.25"/>
    <d v="1899-12-30T03:40:00"/>
    <m/>
    <m/>
    <n v="151247.25"/>
    <n v="357.28000000000003"/>
    <n v="68933.333333333343"/>
    <n v="3446.666666666667"/>
    <n v="0"/>
    <n v="67195.358999999997"/>
    <n v="291179.88899999997"/>
    <n v="873539.6669999999"/>
    <m/>
    <n v="582359.77799999993"/>
    <n v="2"/>
  </r>
  <r>
    <x v="12"/>
    <s v="SPIDER WEB COASTER WITH HOLDER  PERFECT FOR HALLOWEEN DECOR"/>
    <n v="1"/>
    <s v="Anycubic Kobra S1"/>
    <s v="PLA"/>
    <s v="orange"/>
    <n v="154"/>
    <n v="0"/>
    <n v="0"/>
    <d v="1899-12-30T05:20:00"/>
    <m/>
    <m/>
    <n v="266805"/>
    <n v="519.67999999999995"/>
    <n v="100266.66666666666"/>
    <n v="5013.333333333333"/>
    <n v="0"/>
    <n v="111781.40399999999"/>
    <n v="484386.08399999997"/>
    <n v="1453158.2519999999"/>
    <m/>
    <n v="968772.16799999983"/>
    <n v="1.9999999999999998"/>
  </r>
  <r>
    <x v="13"/>
    <s v="Spider web earcuff"/>
    <n v="1"/>
    <s v="Anycubic Kobra S1"/>
    <s v="PLA"/>
    <s v="white"/>
    <n v="17.45"/>
    <n v="1.07"/>
    <n v="0.42"/>
    <d v="1899-12-30T01:00:00"/>
    <m/>
    <m/>
    <n v="32813.550000000003"/>
    <n v="97.44"/>
    <n v="18800"/>
    <n v="940"/>
    <n v="0"/>
    <n v="15795.297"/>
    <n v="68446.287000000011"/>
    <n v="205338.86100000003"/>
    <m/>
    <n v="136892.57400000002"/>
    <n v="2"/>
  </r>
  <r>
    <x v="14"/>
    <s v="flexi magnetic skeleton "/>
    <n v="1"/>
    <s v="Anycubic Kobra S1"/>
    <s v="PLA"/>
    <s v="white"/>
    <n v="26.01"/>
    <n v="1.02"/>
    <n v="0"/>
    <d v="1899-12-30T01:34:00"/>
    <m/>
    <m/>
    <n v="46829.474999999999"/>
    <n v="152.65600000000003"/>
    <n v="29453.333333333336"/>
    <n v="1472.666666666667"/>
    <n v="0"/>
    <n v="23372.439300000002"/>
    <n v="101280.57030000001"/>
    <n v="303841.71090000001"/>
    <m/>
    <n v="202561.14059999998"/>
    <n v="1.9999999999999998"/>
  </r>
  <r>
    <x v="15"/>
    <s v="D20 Dragon stand"/>
    <n v="1"/>
    <s v="Anycubic Kobra S1"/>
    <s v="PLA"/>
    <s v="gold black"/>
    <n v="32.86"/>
    <n v="0"/>
    <n v="0"/>
    <d v="1899-12-30T01:13:00"/>
    <m/>
    <m/>
    <n v="56929.950000000004"/>
    <n v="118.55200000000002"/>
    <n v="22873.333333333336"/>
    <n v="1143.6666666666667"/>
    <n v="0"/>
    <n v="24319.650600000004"/>
    <n v="105385.15260000003"/>
    <n v="316155.45780000009"/>
    <m/>
    <n v="210770.30520000006"/>
    <n v="2"/>
  </r>
  <r>
    <x v="16"/>
    <s v="Flexi cat"/>
    <n v="1"/>
    <s v="Anycubic Kobra S1"/>
    <s v="PLA"/>
    <s v="Black"/>
    <n v="13.6"/>
    <n v="0"/>
    <n v="0.09"/>
    <d v="1899-12-30T00:42:00"/>
    <m/>
    <m/>
    <n v="23717.924999999999"/>
    <n v="68.207999999999998"/>
    <n v="13160"/>
    <n v="658"/>
    <n v="0"/>
    <n v="11281.2399"/>
    <n v="48885.372900000002"/>
    <n v="146656.11869999999"/>
    <m/>
    <n v="97770.74579999999"/>
    <n v="1.9999999999999998"/>
  </r>
  <r>
    <x v="17"/>
    <s v="Fractual star Fidget"/>
    <n v="1"/>
    <s v="Anycubic Kobra S1"/>
    <s v="PLA"/>
    <s v="gold black"/>
    <n v="61.3"/>
    <n v="0"/>
    <n v="0"/>
    <d v="1899-12-30T01:56:00"/>
    <m/>
    <m/>
    <n v="106202.25"/>
    <n v="188.38400000000001"/>
    <n v="36346.666666666672"/>
    <n v="1817.3333333333335"/>
    <n v="0"/>
    <n v="43366.390200000002"/>
    <n v="187921.02420000001"/>
    <n v="563763.07260000007"/>
    <m/>
    <n v="375842.04840000009"/>
    <n v="2.0000000000000004"/>
  </r>
  <r>
    <x v="18"/>
    <s v="Infinity Cube Fidget"/>
    <n v="1"/>
    <s v="Anycubic Kobra S1"/>
    <s v="PLA"/>
    <s v="Black"/>
    <n v="28.18"/>
    <n v="0"/>
    <n v="0.09"/>
    <d v="1899-12-30T01:10:00"/>
    <m/>
    <m/>
    <n v="48977.775000000001"/>
    <n v="113.68"/>
    <n v="21933.333333333336"/>
    <n v="1096.6666666666667"/>
    <n v="0"/>
    <n v="21636.4365"/>
    <n v="93757.891499999998"/>
    <n v="281273.67449999996"/>
    <m/>
    <n v="187515.78299999997"/>
    <n v="1.9999999999999998"/>
  </r>
  <r>
    <x v="19"/>
    <s v="Planetary Gear Fidget"/>
    <n v="1"/>
    <s v="Anycubic Kobra S1"/>
    <s v="PLA"/>
    <s v="Black"/>
    <n v="46.29"/>
    <n v="0"/>
    <n v="0"/>
    <d v="1899-12-30T02:33:00"/>
    <m/>
    <m/>
    <n v="80197.425000000003"/>
    <n v="248.47200000000001"/>
    <n v="47940"/>
    <n v="2397"/>
    <n v="0"/>
    <n v="39234.869099999996"/>
    <n v="170017.76610000001"/>
    <n v="510053.29830000002"/>
    <m/>
    <n v="340035.53220000002"/>
    <n v="2"/>
  </r>
  <r>
    <x v="20"/>
    <s v="Skull Key Swich"/>
    <n v="1"/>
    <s v="Anycubic Kobra S1"/>
    <s v="PLA"/>
    <s v="white"/>
    <n v="6.27"/>
    <n v="0"/>
    <n v="0.15"/>
    <d v="1899-12-30T00:20:00"/>
    <m/>
    <m/>
    <n v="11122.65"/>
    <n v="32.479999999999997"/>
    <n v="6266.6666666666661"/>
    <n v="313.33333333333331"/>
    <n v="0"/>
    <n v="5320.5389999999989"/>
    <n v="23055.668999999994"/>
    <n v="69167.006999999983"/>
    <m/>
    <n v="46111.337999999989"/>
    <n v="2"/>
  </r>
  <r>
    <x v="21"/>
    <s v="Tactile Fidget Rings"/>
    <n v="1"/>
    <s v="Anycubic Kobra S1"/>
    <s v="PLA"/>
    <s v="white"/>
    <n v="17.98"/>
    <n v="0"/>
    <n v="0.15"/>
    <d v="1899-12-30T01:00:00"/>
    <m/>
    <m/>
    <n v="31410.225000000002"/>
    <n v="97.44"/>
    <n v="18800"/>
    <n v="940"/>
    <n v="0"/>
    <n v="15374.299499999999"/>
    <n v="66621.964500000002"/>
    <n v="199865.89350000001"/>
    <m/>
    <n v="133243.929"/>
    <n v="2"/>
  </r>
  <r>
    <x v="22"/>
    <s v="Ghost Pumpkin"/>
    <n v="1"/>
    <s v="Anycubic Kobra S1"/>
    <s v="PLA"/>
    <s v="white"/>
    <n v="91.36"/>
    <n v="0"/>
    <n v="0"/>
    <d v="1899-12-30T03:16:00"/>
    <m/>
    <m/>
    <n v="158281.20000000001"/>
    <n v="318.30399999999997"/>
    <n v="61413.333333333336"/>
    <n v="3070.6666666666665"/>
    <n v="0"/>
    <n v="66925.051200000002"/>
    <n v="290008.5552"/>
    <n v="870025.66559999995"/>
    <m/>
    <n v="580017.11039999989"/>
    <n v="1.9999999999999996"/>
  </r>
  <r>
    <x v="23"/>
    <s v="MG mask"/>
    <n v="1"/>
    <s v="Anycubic Kobra S1"/>
    <s v="PLA"/>
    <s v="Black"/>
    <n v="91.8"/>
    <n v="16.86"/>
    <n v="0"/>
    <d v="1899-12-30T04:46:00"/>
    <m/>
    <m/>
    <n v="188253.45"/>
    <n v="464.46399999999994"/>
    <n v="89613.333333333328"/>
    <n v="4480.666666666667"/>
    <n v="0"/>
    <n v="84843.574200000017"/>
    <n v="367655.48820000008"/>
    <n v="1102966.4646000003"/>
    <m/>
    <n v="735310.97640000028"/>
    <n v="2.0000000000000004"/>
  </r>
  <r>
    <x v="24"/>
    <s v="skull Earing"/>
    <n v="1"/>
    <s v="Anycubic Kobra S1"/>
    <s v="PLA"/>
    <s v="gold black"/>
    <n v="1.97"/>
    <n v="0"/>
    <n v="0"/>
    <d v="1899-12-30T00:09:00"/>
    <m/>
    <m/>
    <n v="3413.0250000000001"/>
    <n v="14.616000000000001"/>
    <n v="2820.0000000000005"/>
    <n v="141.00000000000003"/>
    <n v="0"/>
    <n v="1916.5923"/>
    <n v="8305.2332999999999"/>
    <n v="24915.6999"/>
    <m/>
    <n v="16610.4666"/>
    <n v="2"/>
  </r>
  <r>
    <x v="25"/>
    <m/>
    <m/>
    <m/>
    <m/>
    <m/>
    <m/>
    <m/>
    <m/>
    <m/>
    <m/>
    <m/>
    <n v="0"/>
    <n v="0"/>
    <n v="0"/>
    <n v="0"/>
    <n v="0"/>
    <n v="0"/>
    <n v="0"/>
    <n v="0"/>
    <m/>
    <n v="0"/>
    <n v="0"/>
  </r>
  <r>
    <x v="26"/>
    <m/>
    <m/>
    <m/>
    <m/>
    <m/>
    <m/>
    <m/>
    <m/>
    <m/>
    <m/>
    <m/>
    <n v="0"/>
    <n v="0"/>
    <n v="0"/>
    <n v="0"/>
    <n v="0"/>
    <n v="0"/>
    <n v="0"/>
    <n v="0"/>
    <m/>
    <n v="0"/>
    <n v="0"/>
  </r>
  <r>
    <x v="27"/>
    <m/>
    <m/>
    <m/>
    <m/>
    <m/>
    <m/>
    <m/>
    <m/>
    <m/>
    <m/>
    <m/>
    <n v="0"/>
    <n v="0"/>
    <n v="0"/>
    <n v="0"/>
    <n v="0"/>
    <n v="0"/>
    <n v="0"/>
    <n v="0"/>
    <m/>
    <n v="0"/>
    <n v="0"/>
  </r>
  <r>
    <x v="28"/>
    <m/>
    <m/>
    <m/>
    <m/>
    <m/>
    <m/>
    <m/>
    <m/>
    <m/>
    <m/>
    <m/>
    <n v="0"/>
    <n v="0"/>
    <n v="0"/>
    <n v="0"/>
    <n v="0"/>
    <n v="0"/>
    <n v="0"/>
    <n v="0"/>
    <m/>
    <n v="0"/>
    <n v="0"/>
  </r>
  <r>
    <x v="29"/>
    <m/>
    <m/>
    <m/>
    <m/>
    <m/>
    <m/>
    <m/>
    <m/>
    <m/>
    <m/>
    <m/>
    <n v="0"/>
    <n v="0"/>
    <n v="0"/>
    <n v="0"/>
    <n v="0"/>
    <n v="0"/>
    <n v="0"/>
    <n v="0"/>
    <m/>
    <n v="0"/>
    <n v="0"/>
  </r>
  <r>
    <x v="30"/>
    <m/>
    <m/>
    <m/>
    <m/>
    <m/>
    <m/>
    <m/>
    <m/>
    <m/>
    <m/>
    <m/>
    <n v="0"/>
    <n v="0"/>
    <n v="0"/>
    <n v="0"/>
    <n v="0"/>
    <n v="0"/>
    <n v="0"/>
    <n v="0"/>
    <m/>
    <n v="0"/>
    <n v="0"/>
  </r>
  <r>
    <x v="30"/>
    <m/>
    <m/>
    <m/>
    <m/>
    <m/>
    <m/>
    <m/>
    <m/>
    <m/>
    <m/>
    <m/>
    <n v="0"/>
    <n v="0"/>
    <n v="0"/>
    <n v="0"/>
    <n v="0"/>
    <n v="0"/>
    <n v="0"/>
    <n v="0"/>
    <m/>
    <n v="0"/>
    <n v="0"/>
  </r>
  <r>
    <x v="30"/>
    <m/>
    <m/>
    <m/>
    <m/>
    <m/>
    <m/>
    <m/>
    <m/>
    <m/>
    <m/>
    <m/>
    <n v="0"/>
    <n v="0"/>
    <n v="0"/>
    <n v="0"/>
    <n v="0"/>
    <n v="0"/>
    <n v="0"/>
    <n v="0"/>
    <m/>
    <n v="0"/>
    <n v="0"/>
  </r>
  <r>
    <x v="30"/>
    <m/>
    <m/>
    <m/>
    <m/>
    <m/>
    <m/>
    <m/>
    <m/>
    <m/>
    <m/>
    <m/>
    <n v="0"/>
    <n v="0"/>
    <n v="0"/>
    <n v="0"/>
    <n v="0"/>
    <n v="0"/>
    <n v="0"/>
    <n v="0"/>
    <m/>
    <n v="0"/>
    <n v="0"/>
  </r>
  <r>
    <x v="30"/>
    <m/>
    <m/>
    <m/>
    <m/>
    <m/>
    <m/>
    <m/>
    <m/>
    <m/>
    <m/>
    <m/>
    <n v="0"/>
    <n v="0"/>
    <n v="0"/>
    <n v="0"/>
    <n v="0"/>
    <n v="0"/>
    <n v="0"/>
    <n v="0"/>
    <m/>
    <n v="0"/>
    <n v="0"/>
  </r>
  <r>
    <x v="30"/>
    <m/>
    <m/>
    <m/>
    <m/>
    <m/>
    <m/>
    <m/>
    <m/>
    <m/>
    <m/>
    <m/>
    <n v="0"/>
    <n v="0"/>
    <n v="0"/>
    <n v="0"/>
    <n v="0"/>
    <n v="0"/>
    <n v="0"/>
    <n v="0"/>
    <m/>
    <n v="0"/>
    <n v="0"/>
  </r>
  <r>
    <x v="30"/>
    <m/>
    <m/>
    <m/>
    <m/>
    <m/>
    <m/>
    <m/>
    <m/>
    <m/>
    <m/>
    <m/>
    <n v="0"/>
    <n v="0"/>
    <n v="0"/>
    <n v="0"/>
    <n v="0"/>
    <n v="0"/>
    <n v="0"/>
    <n v="0"/>
    <m/>
    <n v="0"/>
    <n v="0"/>
  </r>
  <r>
    <x v="30"/>
    <m/>
    <m/>
    <m/>
    <m/>
    <m/>
    <m/>
    <m/>
    <m/>
    <m/>
    <m/>
    <m/>
    <n v="0"/>
    <n v="0"/>
    <n v="0"/>
    <n v="0"/>
    <n v="0"/>
    <n v="0"/>
    <n v="0"/>
    <n v="0"/>
    <m/>
    <n v="0"/>
    <n v="0"/>
  </r>
  <r>
    <x v="30"/>
    <m/>
    <m/>
    <m/>
    <m/>
    <m/>
    <m/>
    <m/>
    <m/>
    <m/>
    <m/>
    <m/>
    <n v="0"/>
    <n v="0"/>
    <n v="0"/>
    <n v="0"/>
    <n v="0"/>
    <n v="0"/>
    <n v="0"/>
    <n v="0"/>
    <m/>
    <n v="0"/>
    <n v="0"/>
  </r>
  <r>
    <x v="30"/>
    <m/>
    <m/>
    <m/>
    <m/>
    <m/>
    <m/>
    <m/>
    <m/>
    <m/>
    <m/>
    <m/>
    <n v="0"/>
    <n v="0"/>
    <n v="0"/>
    <n v="0"/>
    <n v="0"/>
    <n v="0"/>
    <n v="0"/>
    <n v="0"/>
    <m/>
    <n v="0"/>
    <n v="0"/>
  </r>
  <r>
    <x v="30"/>
    <m/>
    <m/>
    <m/>
    <m/>
    <m/>
    <m/>
    <m/>
    <m/>
    <m/>
    <m/>
    <m/>
    <n v="0"/>
    <n v="0"/>
    <n v="0"/>
    <n v="0"/>
    <n v="0"/>
    <n v="0"/>
    <n v="0"/>
    <n v="0"/>
    <m/>
    <n v="0"/>
    <n v="0"/>
  </r>
  <r>
    <x v="30"/>
    <m/>
    <m/>
    <m/>
    <m/>
    <m/>
    <m/>
    <m/>
    <m/>
    <m/>
    <m/>
    <m/>
    <n v="0"/>
    <n v="0"/>
    <n v="0"/>
    <n v="0"/>
    <n v="0"/>
    <n v="0"/>
    <n v="0"/>
    <n v="0"/>
    <m/>
    <n v="0"/>
    <n v="0"/>
  </r>
  <r>
    <x v="30"/>
    <m/>
    <m/>
    <m/>
    <m/>
    <m/>
    <m/>
    <m/>
    <m/>
    <m/>
    <m/>
    <m/>
    <n v="0"/>
    <n v="0"/>
    <n v="0"/>
    <n v="0"/>
    <n v="0"/>
    <n v="0"/>
    <n v="0"/>
    <n v="0"/>
    <m/>
    <n v="0"/>
    <n v="0"/>
  </r>
  <r>
    <x v="30"/>
    <m/>
    <m/>
    <m/>
    <m/>
    <m/>
    <m/>
    <m/>
    <m/>
    <m/>
    <m/>
    <m/>
    <n v="0"/>
    <n v="0"/>
    <n v="0"/>
    <n v="0"/>
    <n v="0"/>
    <n v="0"/>
    <n v="0"/>
    <n v="0"/>
    <m/>
    <n v="0"/>
    <n v="0"/>
  </r>
  <r>
    <x v="30"/>
    <m/>
    <m/>
    <m/>
    <m/>
    <m/>
    <m/>
    <m/>
    <m/>
    <m/>
    <m/>
    <m/>
    <n v="0"/>
    <n v="0"/>
    <n v="0"/>
    <n v="0"/>
    <n v="0"/>
    <n v="0"/>
    <n v="0"/>
    <n v="0"/>
    <m/>
    <n v="0"/>
    <n v="0"/>
  </r>
  <r>
    <x v="30"/>
    <m/>
    <m/>
    <m/>
    <m/>
    <m/>
    <m/>
    <m/>
    <m/>
    <m/>
    <m/>
    <m/>
    <n v="0"/>
    <n v="0"/>
    <n v="0"/>
    <n v="0"/>
    <n v="0"/>
    <n v="0"/>
    <n v="0"/>
    <n v="0"/>
    <m/>
    <n v="0"/>
    <n v="0"/>
  </r>
  <r>
    <x v="30"/>
    <m/>
    <m/>
    <m/>
    <m/>
    <m/>
    <m/>
    <m/>
    <m/>
    <m/>
    <m/>
    <m/>
    <n v="0"/>
    <n v="0"/>
    <n v="0"/>
    <n v="0"/>
    <n v="0"/>
    <n v="0"/>
    <n v="0"/>
    <n v="0"/>
    <m/>
    <n v="0"/>
    <n v="0"/>
  </r>
  <r>
    <x v="30"/>
    <m/>
    <m/>
    <m/>
    <m/>
    <m/>
    <m/>
    <m/>
    <m/>
    <m/>
    <m/>
    <m/>
    <n v="0"/>
    <n v="0"/>
    <n v="0"/>
    <n v="0"/>
    <n v="0"/>
    <n v="0"/>
    <n v="0"/>
    <n v="0"/>
    <m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:E34" firstHeaderRow="0" firstDataRow="1" firstDataCol="1"/>
  <pivotFields count="23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numFmtId="3" showAll="0"/>
    <pivotField showAll="0"/>
    <pivotField dataField="1" numFmtId="3" showAll="0"/>
    <pivotField dataField="1" numFmtId="10"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price/t" fld="18" baseField="0" baseItem="0" numFmtId="3"/>
    <dataField name="Sum of Matrial/t" fld="12" baseField="0" baseItem="0" numFmtId="3"/>
    <dataField name="Sum of Gross margin/t" fld="21" baseField="0" baseItem="0" numFmtId="3"/>
    <dataField name="Sum of margin %/t" fld="22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300-000000000000}" autoFormatId="16" applyNumberFormats="0" applyBorderFormats="0" applyFontFormats="0" applyPatternFormats="0" applyAlignmentFormats="0" applyWidthHeightFormats="0">
  <queryTableRefresh nextId="8" unboundColumnsRight="1">
    <queryTableFields count="6">
      <queryTableField id="1" name="Product ID" tableColumnId="1"/>
      <queryTableField id="2" name="Product" tableColumnId="2"/>
      <queryTableField id="5" dataBound="0" tableColumnId="6"/>
      <queryTableField id="3" name="base price/t" tableColumnId="3"/>
      <queryTableField id="4" name="Sugested Price/t" tableColumnId="4"/>
      <queryTableField id="6" dataBound="0" tableColumnId="7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C3:D5" headerRowCount="0" totalsRowShown="0" headerRowDxfId="13" tableBorderDxfId="12" totalsRowBorderDxfId="11">
  <tableColumns count="2">
    <tableColumn id="1" xr3:uid="{00000000-0010-0000-0000-000001000000}" name="Column1" dataDxfId="10"/>
    <tableColumn id="2" xr3:uid="{00000000-0010-0000-0000-000002000000}" name="Column2" dataDxfId="9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C11:D14" headerRowCount="0" totalsRowShown="0" tableBorderDxfId="8">
  <tableColumns count="2">
    <tableColumn id="1" xr3:uid="{00000000-0010-0000-0100-000001000000}" name="Column1"/>
    <tableColumn id="2" xr3:uid="{00000000-0010-0000-0100-000002000000}" name="Column2"/>
  </tableColumns>
  <tableStyleInfo name="TableStyleMedium2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F3:J6" headerRowCount="0" totalsRowShown="0" tableBorderDxfId="7">
  <tableColumns count="5">
    <tableColumn id="1" xr3:uid="{00000000-0010-0000-0200-000001000000}" name="Machines"/>
    <tableColumn id="2" xr3:uid="{00000000-0010-0000-0200-000002000000}" name="Column1"/>
    <tableColumn id="3" xr3:uid="{00000000-0010-0000-0200-000003000000}" name="Column2"/>
    <tableColumn id="4" xr3:uid="{00000000-0010-0000-0200-000004000000}" name="Column3"/>
    <tableColumn id="5" xr3:uid="{00000000-0010-0000-0200-000005000000}" name="Column4"/>
  </tableColumns>
  <tableStyleInfo name="TableStyleMedium2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MaterialsTbl" displayName="MaterialsTbl" ref="D5:H25" totalsRowShown="0" tableBorderDxfId="6">
  <autoFilter ref="D5:H25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300-000001000000}" name="Material"/>
    <tableColumn id="2" xr3:uid="{00000000-0010-0000-0300-000002000000}" name="Price_per_kg" dataDxfId="5"/>
    <tableColumn id="3" xr3:uid="{00000000-0010-0000-0300-000003000000}" name="Waste_pct"/>
    <tableColumn id="4" xr3:uid="{00000000-0010-0000-0300-000004000000}" name="Color"/>
    <tableColumn id="5" xr3:uid="{00000000-0010-0000-0300-000005000000}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Jobs" displayName="Jobs" ref="A1:V174" headerRowDxfId="33">
  <autoFilter ref="A1:V174" xr:uid="{00000000-0009-0000-0100-000006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00000000-0010-0000-0400-000001000000}" name="Product ID" totalsRowLabel="Total"/>
    <tableColumn id="3" xr3:uid="{00000000-0010-0000-0400-000003000000}" name="Product" dataDxfId="0"/>
    <tableColumn id="4" xr3:uid="{00000000-0010-0000-0400-000004000000}" name="Qty" dataDxfId="32" totalsRowDxfId="31"/>
    <tableColumn id="5" xr3:uid="{00000000-0010-0000-0400-000005000000}" name="Machine"/>
    <tableColumn id="6" xr3:uid="{00000000-0010-0000-0400-000006000000}" name="Material"/>
    <tableColumn id="7" xr3:uid="{00000000-0010-0000-0400-000007000000}" name="color"/>
    <tableColumn id="8" xr3:uid="{00000000-0010-0000-0400-000008000000}" name="Wight/g" dataDxfId="30"/>
    <tableColumn id="9" xr3:uid="{00000000-0010-0000-0400-000009000000}" name="Support/g" dataDxfId="29"/>
    <tableColumn id="23" xr3:uid="{00000000-0010-0000-0400-000017000000}" name="Flushed/g" dataDxfId="28"/>
    <tableColumn id="10" xr3:uid="{00000000-0010-0000-0400-00000A000000}" name="Print/h" dataDxfId="27"/>
    <tableColumn id="24" xr3:uid="{00000000-0010-0000-0400-000018000000}" name="Post Pro/h" dataDxfId="26"/>
    <tableColumn id="25" xr3:uid="{00000000-0010-0000-0400-000019000000}" name="Extras" dataDxfId="25"/>
    <tableColumn id="11" xr3:uid="{00000000-0010-0000-0400-00000B000000}" name="Matrial/t" dataDxfId="24">
      <calculatedColumnFormula>_xlfn.LET(
    _xlpm.qty, C2,
    _xlpm.weight_g, G2 + H2 + Jobs[[#This Row],[Flushed/g]],
    _xlpm.material, TRIM(E2),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calculatedColumnFormula>
    </tableColumn>
    <tableColumn id="12" xr3:uid="{00000000-0010-0000-0400-00000C000000}" name="power/t" dataDxfId="23">
      <calculatedColumnFormula>_xlfn.LET(
    _xlpm.qty, C2,
    _xlpm.hours, J2*24,
    _xlpm.power_w, _xlfn.XLOOKUP(TRIM(D2), Settings!$F$4:$F$101, Settings!$G$4:$G$101, 120),
    _xlpm.rate, Settings!$D$4,
    _xlpm.qty * _xlpm.hours * (_xlpm.power_w / 1000) * _xlpm.rate
)</calculatedColumnFormula>
    </tableColumn>
    <tableColumn id="13" xr3:uid="{00000000-0010-0000-0400-00000D000000}" name="downturn/t" dataDxfId="22">
      <calculatedColumnFormula>_xlfn.LET(
    _xlpm.qty, C2,
    _xlpm.hours, J2*24,
    _xlpm.price, _xlfn.XLOOKUP(TRIM(D2), Settings!$F$4:$F$101, Settings!$H$4:$H$101, 0),
    _xlpm.life, _xlfn.XLOOKUP(TRIM(D2), Settings!$F$4:$F$101, Settings!$I$4:$I$101, 1),
    _xlpm.qty * _xlpm.hours * (_xlpm.price / _xlpm.life)
)</calculatedColumnFormula>
    </tableColumn>
    <tableColumn id="14" xr3:uid="{00000000-0010-0000-0400-00000E000000}" name="Maintenance/t" dataDxfId="21">
      <calculatedColumnFormula>_xlfn.LET(
    _xlpm.qty, C2,
    _xlpm.hours, J2*24,
    _xlpm.price, _xlfn.XLOOKUP(TRIM(D2), Settings!$F$4:$F$101, Settings!$H$4:$H$101, 0),
    _xlpm.life, _xlfn.XLOOKUP(TRIM(D2), Settings!$F$4:$F$101, Settings!$I$4:$I$101, 1),
    _xlpm.pct, _xlfn.XLOOKUP(TRIM(D2), Settings!$F$4:$F$101, Settings!$J$4:$J$101, 0),
    _xlpm.qty * _xlpm.hours * (_xlpm.price / _xlpm.life * _xlpm.pct)
)</calculatedColumnFormula>
    </tableColumn>
    <tableColumn id="26" xr3:uid="{00000000-0010-0000-0400-00001A000000}" name="Coloring/t" dataDxfId="20">
      <calculatedColumnFormula>Jobs[[#This Row],[Post Pro/h]]*Settings!$D$18</calculatedColumnFormula>
    </tableColumn>
    <tableColumn id="15" xr3:uid="{00000000-0010-0000-0400-00000F000000}" name="overhead/t" dataDxfId="19">
      <calculatedColumnFormula>(Jobs[[#This Row],[power/t]]+Jobs[[#This Row],[Matrial/t]]+Jobs[[#This Row],[downturn/t]]+Jobs[[#This Row],[Maintenance/t]]+Jobs[[#This Row],[Coloring/t]]+Jobs[[#This Row],[Extras]])*Settings!$D$12</calculatedColumnFormula>
    </tableColumn>
    <tableColumn id="16" xr3:uid="{00000000-0010-0000-0400-000010000000}" name="base price/t" dataDxfId="18">
      <calculatedColumnFormula>Jobs[[#This Row],[Matrial/t]] + Jobs[[#This Row],[power/t]] + Jobs[[#This Row],[downturn/t]] + Jobs[[#This Row],[Maintenance/t]] + Jobs[[#This Row],[Coloring/t]] + Jobs[[#This Row],[overhead/t]] + Jobs[[#This Row],[Extras]]</calculatedColumnFormula>
    </tableColumn>
    <tableColumn id="18" xr3:uid="{00000000-0010-0000-0400-000012000000}" name="Sugested Price/t" dataDxfId="17">
      <calculatedColumnFormula>S2*(1+Settings!$D$5)</calculatedColumnFormula>
    </tableColumn>
    <tableColumn id="20" xr3:uid="{00000000-0010-0000-0400-000014000000}" name="Gross margin/t" dataDxfId="16">
      <calculatedColumnFormula>Jobs[[#This Row],[Sugested Price/t]] - Jobs[[#This Row],[base price/t]]</calculatedColumnFormula>
    </tableColumn>
    <tableColumn id="21" xr3:uid="{00000000-0010-0000-0400-000015000000}" name="margin %/t" totalsRowFunction="sum" dataDxfId="15" totalsRowDxfId="14">
      <calculatedColumnFormula>IFERROR(Jobs[[#This Row],[Gross margin/t]] / Jobs[[#This Row],[base price/t]], 0)</calculatedColumnFormula>
    </tableColumn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Jobs_1" displayName="Jobs_1" ref="A1:F182" tableType="queryTable" totalsRowShown="0">
  <autoFilter ref="A1:F18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500-000001000000}" uniqueName="1" name="Product ID" queryTableFieldId="1" dataDxfId="4"/>
    <tableColumn id="2" xr3:uid="{00000000-0010-0000-0500-000002000000}" uniqueName="2" name="Product" queryTableFieldId="2" dataDxfId="3"/>
    <tableColumn id="6" xr3:uid="{00000000-0010-0000-0500-000006000000}" uniqueName="6" name="Persian Name" queryTableFieldId="5" dataDxfId="2"/>
    <tableColumn id="3" xr3:uid="{00000000-0010-0000-0500-000003000000}" uniqueName="3" name="base price/t" queryTableFieldId="3"/>
    <tableColumn id="4" xr3:uid="{00000000-0010-0000-0500-000004000000}" uniqueName="4" name="Sugested Price/t" queryTableFieldId="4"/>
    <tableColumn id="7" xr3:uid="{00000000-0010-0000-0500-000007000000}" uniqueName="7" name="Final Price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18"/>
  <sheetViews>
    <sheetView workbookViewId="0">
      <selection activeCell="D18" sqref="D18"/>
    </sheetView>
  </sheetViews>
  <sheetFormatPr defaultRowHeight="15" x14ac:dyDescent="0.25"/>
  <cols>
    <col min="1" max="1" width="15" customWidth="1"/>
    <col min="2" max="2" width="12.140625" bestFit="1" customWidth="1"/>
    <col min="3" max="3" width="25" bestFit="1" customWidth="1"/>
    <col min="4" max="4" width="9.5703125" bestFit="1" customWidth="1"/>
    <col min="5" max="5" width="15.42578125" bestFit="1" customWidth="1"/>
    <col min="6" max="6" width="26.5703125" customWidth="1"/>
    <col min="7" max="7" width="10.5703125" customWidth="1"/>
    <col min="8" max="8" width="14.140625" bestFit="1" customWidth="1"/>
    <col min="9" max="9" width="10.5703125" customWidth="1"/>
    <col min="10" max="10" width="16.140625" bestFit="1" customWidth="1"/>
    <col min="11" max="11" width="10" bestFit="1" customWidth="1"/>
    <col min="12" max="12" width="16.140625" bestFit="1" customWidth="1"/>
    <col min="14" max="14" width="11" customWidth="1"/>
  </cols>
  <sheetData>
    <row r="2" spans="3:10" x14ac:dyDescent="0.25">
      <c r="C2" t="s">
        <v>15</v>
      </c>
      <c r="D2" s="7"/>
      <c r="E2" s="7"/>
      <c r="F2" t="s">
        <v>14</v>
      </c>
    </row>
    <row r="3" spans="3:10" ht="15.75" thickBot="1" x14ac:dyDescent="0.3">
      <c r="C3" s="8" t="s">
        <v>19</v>
      </c>
      <c r="D3" s="9"/>
      <c r="F3" s="14" t="s">
        <v>14</v>
      </c>
      <c r="G3" s="15" t="s">
        <v>15</v>
      </c>
      <c r="H3" s="15" t="s">
        <v>16</v>
      </c>
      <c r="I3" s="15" t="s">
        <v>17</v>
      </c>
      <c r="J3" s="16" t="s">
        <v>18</v>
      </c>
    </row>
    <row r="4" spans="3:10" ht="15.75" thickBot="1" x14ac:dyDescent="0.3">
      <c r="C4" s="10" t="s">
        <v>20</v>
      </c>
      <c r="D4" s="19">
        <f>812</f>
        <v>812</v>
      </c>
      <c r="F4" s="12" t="s">
        <v>129</v>
      </c>
      <c r="G4" s="21">
        <v>120</v>
      </c>
      <c r="H4" s="21">
        <v>94000000</v>
      </c>
      <c r="I4" s="21">
        <v>5000</v>
      </c>
      <c r="J4" s="20">
        <v>0.05</v>
      </c>
    </row>
    <row r="5" spans="3:10" ht="15.75" thickBot="1" x14ac:dyDescent="0.3">
      <c r="C5" s="12" t="s">
        <v>21</v>
      </c>
      <c r="D5" s="13">
        <v>2</v>
      </c>
      <c r="F5" s="12" t="s">
        <v>130</v>
      </c>
      <c r="G5" s="21">
        <v>120</v>
      </c>
      <c r="H5" s="21">
        <v>75000000</v>
      </c>
      <c r="I5" s="21">
        <v>5000</v>
      </c>
      <c r="J5" s="20">
        <v>0.05</v>
      </c>
    </row>
    <row r="6" spans="3:10" x14ac:dyDescent="0.25">
      <c r="F6" s="12" t="s">
        <v>80</v>
      </c>
      <c r="G6" s="21">
        <v>120</v>
      </c>
      <c r="H6" s="12">
        <v>23000000</v>
      </c>
      <c r="I6" s="21">
        <v>3000</v>
      </c>
      <c r="J6" s="12">
        <v>0.05</v>
      </c>
    </row>
    <row r="11" spans="3:10" ht="15.75" thickBot="1" x14ac:dyDescent="0.3">
      <c r="C11" s="8" t="s">
        <v>24</v>
      </c>
      <c r="D11" s="9"/>
    </row>
    <row r="12" spans="3:10" ht="15.75" thickBot="1" x14ac:dyDescent="0.3">
      <c r="C12" s="10" t="s">
        <v>25</v>
      </c>
      <c r="D12" s="11">
        <v>0.3</v>
      </c>
    </row>
    <row r="13" spans="3:10" ht="15.75" thickBot="1" x14ac:dyDescent="0.3">
      <c r="C13" s="10" t="s">
        <v>26</v>
      </c>
      <c r="D13" s="11">
        <v>0</v>
      </c>
    </row>
    <row r="14" spans="3:10" x14ac:dyDescent="0.25">
      <c r="C14" s="12" t="s">
        <v>27</v>
      </c>
      <c r="D14" s="13">
        <v>0</v>
      </c>
    </row>
    <row r="17" spans="3:4" ht="15.75" thickBot="1" x14ac:dyDescent="0.3"/>
    <row r="18" spans="3:4" ht="15.75" thickBot="1" x14ac:dyDescent="0.3">
      <c r="C18" s="27" t="s">
        <v>78</v>
      </c>
      <c r="D18" s="28">
        <v>150000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5:H41"/>
  <sheetViews>
    <sheetView workbookViewId="0">
      <selection activeCell="E13" sqref="E13"/>
    </sheetView>
  </sheetViews>
  <sheetFormatPr defaultRowHeight="15" x14ac:dyDescent="0.25"/>
  <cols>
    <col min="4" max="4" width="10.5703125" customWidth="1"/>
    <col min="5" max="5" width="12.140625" bestFit="1" customWidth="1"/>
    <col min="6" max="6" width="10.5703125" customWidth="1"/>
    <col min="7" max="7" width="16.140625" bestFit="1" customWidth="1"/>
    <col min="8" max="8" width="16.140625" customWidth="1"/>
  </cols>
  <sheetData>
    <row r="5" spans="4:8" x14ac:dyDescent="0.25">
      <c r="D5" s="4" t="s">
        <v>0</v>
      </c>
      <c r="E5" s="5" t="s">
        <v>1</v>
      </c>
      <c r="F5" s="5" t="s">
        <v>2</v>
      </c>
      <c r="G5" s="5" t="s">
        <v>3</v>
      </c>
      <c r="H5" s="6" t="s">
        <v>4</v>
      </c>
    </row>
    <row r="6" spans="4:8" x14ac:dyDescent="0.25">
      <c r="D6" t="s">
        <v>5</v>
      </c>
      <c r="E6" s="2">
        <v>2600000</v>
      </c>
      <c r="F6">
        <v>0.05</v>
      </c>
      <c r="G6" t="s">
        <v>22</v>
      </c>
      <c r="H6" t="s">
        <v>11</v>
      </c>
    </row>
    <row r="7" spans="4:8" x14ac:dyDescent="0.25">
      <c r="D7" t="s">
        <v>5</v>
      </c>
      <c r="E7" s="2">
        <v>2600000</v>
      </c>
      <c r="F7">
        <v>0.05</v>
      </c>
      <c r="G7" t="s">
        <v>30</v>
      </c>
      <c r="H7" t="s">
        <v>11</v>
      </c>
    </row>
    <row r="8" spans="4:8" x14ac:dyDescent="0.25">
      <c r="D8" t="s">
        <v>5</v>
      </c>
      <c r="E8" s="2">
        <v>2600000</v>
      </c>
      <c r="F8">
        <v>0.05</v>
      </c>
      <c r="G8" t="s">
        <v>31</v>
      </c>
      <c r="H8" t="s">
        <v>11</v>
      </c>
    </row>
    <row r="9" spans="4:8" x14ac:dyDescent="0.25">
      <c r="D9" t="s">
        <v>5</v>
      </c>
      <c r="E9" s="2">
        <v>2600000</v>
      </c>
      <c r="F9">
        <v>0.05</v>
      </c>
      <c r="G9" t="s">
        <v>23</v>
      </c>
      <c r="H9" t="s">
        <v>11</v>
      </c>
    </row>
    <row r="10" spans="4:8" x14ac:dyDescent="0.25">
      <c r="D10" t="s">
        <v>5</v>
      </c>
      <c r="E10" s="2">
        <v>2600000</v>
      </c>
      <c r="F10">
        <v>0.05</v>
      </c>
      <c r="G10" t="s">
        <v>32</v>
      </c>
      <c r="H10" t="s">
        <v>11</v>
      </c>
    </row>
    <row r="11" spans="4:8" x14ac:dyDescent="0.25">
      <c r="D11" t="s">
        <v>6</v>
      </c>
      <c r="E11" s="2">
        <v>2600000</v>
      </c>
      <c r="F11">
        <v>0.05</v>
      </c>
      <c r="G11" t="s">
        <v>10</v>
      </c>
      <c r="H11" t="s">
        <v>11</v>
      </c>
    </row>
    <row r="12" spans="4:8" x14ac:dyDescent="0.25">
      <c r="D12" t="s">
        <v>7</v>
      </c>
      <c r="E12" s="2">
        <v>3200000</v>
      </c>
      <c r="F12">
        <v>7.0000000000000007E-2</v>
      </c>
      <c r="G12" t="s">
        <v>9</v>
      </c>
      <c r="H12" t="s">
        <v>12</v>
      </c>
    </row>
    <row r="13" spans="4:8" x14ac:dyDescent="0.25">
      <c r="D13" t="s">
        <v>8</v>
      </c>
      <c r="E13" s="2">
        <v>2480000</v>
      </c>
      <c r="F13">
        <v>0.08</v>
      </c>
      <c r="G13" t="s">
        <v>9</v>
      </c>
      <c r="H13" t="s">
        <v>13</v>
      </c>
    </row>
    <row r="14" spans="4:8" x14ac:dyDescent="0.25">
      <c r="D14" t="s">
        <v>90</v>
      </c>
      <c r="E14" s="2">
        <v>2600000</v>
      </c>
      <c r="F14">
        <v>0.05</v>
      </c>
      <c r="G14" t="s">
        <v>93</v>
      </c>
      <c r="H14" t="s">
        <v>11</v>
      </c>
    </row>
    <row r="15" spans="4:8" x14ac:dyDescent="0.25">
      <c r="D15" t="s">
        <v>90</v>
      </c>
      <c r="E15" s="2">
        <v>2600000</v>
      </c>
      <c r="F15">
        <v>0.05</v>
      </c>
      <c r="G15" t="s">
        <v>94</v>
      </c>
      <c r="H15" t="s">
        <v>11</v>
      </c>
    </row>
    <row r="16" spans="4:8" x14ac:dyDescent="0.25">
      <c r="D16" t="s">
        <v>7</v>
      </c>
      <c r="E16" s="2">
        <v>3200000</v>
      </c>
      <c r="F16">
        <v>7.0000000000000007E-2</v>
      </c>
      <c r="G16" t="s">
        <v>95</v>
      </c>
      <c r="H16" t="s">
        <v>11</v>
      </c>
    </row>
    <row r="17" spans="4:8" x14ac:dyDescent="0.25">
      <c r="D17" t="s">
        <v>91</v>
      </c>
      <c r="E17" s="2">
        <v>3300000</v>
      </c>
      <c r="F17">
        <v>0.05</v>
      </c>
      <c r="G17" t="s">
        <v>96</v>
      </c>
      <c r="H17" t="s">
        <v>11</v>
      </c>
    </row>
    <row r="18" spans="4:8" x14ac:dyDescent="0.25">
      <c r="D18" t="s">
        <v>91</v>
      </c>
      <c r="E18" s="2">
        <v>3300000</v>
      </c>
      <c r="F18">
        <v>0.05</v>
      </c>
      <c r="G18" t="s">
        <v>97</v>
      </c>
      <c r="H18" t="s">
        <v>11</v>
      </c>
    </row>
    <row r="19" spans="4:8" x14ac:dyDescent="0.25">
      <c r="D19" t="s">
        <v>92</v>
      </c>
      <c r="E19" s="2">
        <v>3300000</v>
      </c>
      <c r="F19">
        <v>7.0000000000000007E-2</v>
      </c>
      <c r="G19" t="s">
        <v>98</v>
      </c>
      <c r="H19" t="s">
        <v>11</v>
      </c>
    </row>
    <row r="20" spans="4:8" x14ac:dyDescent="0.25">
      <c r="D20" t="s">
        <v>92</v>
      </c>
      <c r="E20" s="2">
        <v>3300000</v>
      </c>
      <c r="F20">
        <v>7.0000000000000007E-2</v>
      </c>
      <c r="G20" t="s">
        <v>132</v>
      </c>
      <c r="H20" t="s">
        <v>11</v>
      </c>
    </row>
    <row r="21" spans="4:8" x14ac:dyDescent="0.25">
      <c r="D21" t="s">
        <v>131</v>
      </c>
      <c r="E21" s="2">
        <v>3300000</v>
      </c>
      <c r="F21">
        <v>0.05</v>
      </c>
      <c r="G21" t="s">
        <v>32</v>
      </c>
      <c r="H21" t="s">
        <v>11</v>
      </c>
    </row>
    <row r="22" spans="4:8" x14ac:dyDescent="0.25">
      <c r="D22" t="s">
        <v>131</v>
      </c>
      <c r="E22" s="2">
        <v>3300000</v>
      </c>
      <c r="F22">
        <v>0.05</v>
      </c>
      <c r="G22" t="s">
        <v>133</v>
      </c>
      <c r="H22" t="s">
        <v>11</v>
      </c>
    </row>
    <row r="23" spans="4:8" x14ac:dyDescent="0.25">
      <c r="D23" t="s">
        <v>131</v>
      </c>
      <c r="E23" s="2">
        <v>3300000</v>
      </c>
      <c r="F23">
        <v>0.05</v>
      </c>
      <c r="G23" t="s">
        <v>134</v>
      </c>
      <c r="H23" t="s">
        <v>11</v>
      </c>
    </row>
    <row r="24" spans="4:8" x14ac:dyDescent="0.25">
      <c r="D24" t="s">
        <v>135</v>
      </c>
      <c r="E24" s="2">
        <v>3300000</v>
      </c>
      <c r="F24">
        <v>0.05</v>
      </c>
      <c r="G24" t="s">
        <v>32</v>
      </c>
    </row>
    <row r="25" spans="4:8" x14ac:dyDescent="0.25">
      <c r="D25" t="s">
        <v>137</v>
      </c>
      <c r="E25" s="2">
        <v>3300000</v>
      </c>
      <c r="F25">
        <v>0.05</v>
      </c>
      <c r="G25" t="s">
        <v>138</v>
      </c>
    </row>
    <row r="26" spans="4:8" x14ac:dyDescent="0.25">
      <c r="E26" s="2"/>
    </row>
    <row r="27" spans="4:8" x14ac:dyDescent="0.25">
      <c r="E27" s="2"/>
    </row>
    <row r="28" spans="4:8" x14ac:dyDescent="0.25">
      <c r="E28" s="2"/>
    </row>
    <row r="29" spans="4:8" x14ac:dyDescent="0.25">
      <c r="E29" s="2"/>
    </row>
    <row r="30" spans="4:8" x14ac:dyDescent="0.25">
      <c r="E30" s="2"/>
    </row>
    <row r="31" spans="4:8" x14ac:dyDescent="0.25">
      <c r="E31" s="2"/>
    </row>
    <row r="32" spans="4:8" x14ac:dyDescent="0.25">
      <c r="E32" s="2"/>
    </row>
    <row r="33" spans="5:5" x14ac:dyDescent="0.25">
      <c r="E33" s="2"/>
    </row>
    <row r="34" spans="5:5" x14ac:dyDescent="0.25">
      <c r="E34" s="2"/>
    </row>
    <row r="35" spans="5:5" x14ac:dyDescent="0.25">
      <c r="E35" s="2"/>
    </row>
    <row r="36" spans="5:5" x14ac:dyDescent="0.25">
      <c r="E36" s="2"/>
    </row>
    <row r="37" spans="5:5" x14ac:dyDescent="0.25">
      <c r="E37" s="2"/>
    </row>
    <row r="38" spans="5:5" x14ac:dyDescent="0.25">
      <c r="E38" s="2"/>
    </row>
    <row r="39" spans="5:5" x14ac:dyDescent="0.25">
      <c r="E39" s="2"/>
    </row>
    <row r="40" spans="5:5" x14ac:dyDescent="0.25">
      <c r="E40" s="2"/>
    </row>
    <row r="41" spans="5:5" x14ac:dyDescent="0.25">
      <c r="E41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74"/>
  <sheetViews>
    <sheetView tabSelected="1" topLeftCell="A37" zoomScaleNormal="100" workbookViewId="0">
      <pane xSplit="1" topLeftCell="B1" activePane="topRight" state="frozen"/>
      <selection pane="topRight" activeCell="B95" sqref="B95"/>
    </sheetView>
  </sheetViews>
  <sheetFormatPr defaultRowHeight="15" x14ac:dyDescent="0.25"/>
  <cols>
    <col min="1" max="1" width="12.7109375" customWidth="1"/>
    <col min="2" max="2" width="34" style="18" customWidth="1"/>
    <col min="3" max="3" width="6.7109375" style="18" customWidth="1"/>
    <col min="4" max="4" width="25" customWidth="1"/>
    <col min="5" max="5" width="15.42578125" bestFit="1" customWidth="1"/>
    <col min="6" max="6" width="11.28515625" customWidth="1"/>
    <col min="7" max="7" width="14.140625" style="1" customWidth="1"/>
    <col min="8" max="9" width="9.85546875" style="1" customWidth="1"/>
    <col min="10" max="10" width="11.28515625" style="1" customWidth="1"/>
    <col min="11" max="11" width="10.28515625" style="1" customWidth="1"/>
    <col min="12" max="12" width="11.42578125" style="1" customWidth="1"/>
    <col min="13" max="13" width="9.140625" style="2" hidden="1" customWidth="1"/>
    <col min="14" max="14" width="8.28515625" style="2" hidden="1" customWidth="1"/>
    <col min="15" max="15" width="11.28515625" style="2" hidden="1" customWidth="1"/>
    <col min="16" max="16" width="14.42578125" style="2" hidden="1" customWidth="1"/>
    <col min="17" max="17" width="10" style="2" hidden="1" customWidth="1"/>
    <col min="18" max="18" width="7.85546875" style="2" hidden="1" customWidth="1"/>
    <col min="19" max="19" width="11.5703125" style="2" bestFit="1" customWidth="1"/>
    <col min="20" max="20" width="15.7109375" style="2" bestFit="1" customWidth="1"/>
    <col min="21" max="21" width="16.7109375" style="2" customWidth="1"/>
    <col min="22" max="22" width="10.7109375" style="2" bestFit="1" customWidth="1"/>
    <col min="23" max="23" width="12.28515625" style="3" customWidth="1"/>
  </cols>
  <sheetData>
    <row r="1" spans="1:23" x14ac:dyDescent="0.25">
      <c r="A1" s="17" t="s">
        <v>45</v>
      </c>
      <c r="B1" s="17" t="s">
        <v>28</v>
      </c>
      <c r="C1" s="17" t="s">
        <v>29</v>
      </c>
      <c r="D1" s="17" t="s">
        <v>14</v>
      </c>
      <c r="E1" s="17" t="s">
        <v>0</v>
      </c>
      <c r="F1" s="17" t="s">
        <v>44</v>
      </c>
      <c r="G1" s="17" t="s">
        <v>33</v>
      </c>
      <c r="H1" s="17" t="s">
        <v>34</v>
      </c>
      <c r="I1" s="17" t="s">
        <v>61</v>
      </c>
      <c r="J1" s="17" t="s">
        <v>35</v>
      </c>
      <c r="K1" s="17" t="s">
        <v>81</v>
      </c>
      <c r="L1" s="34" t="s">
        <v>79</v>
      </c>
      <c r="M1" s="17" t="s">
        <v>36</v>
      </c>
      <c r="N1" s="26" t="s">
        <v>37</v>
      </c>
      <c r="O1" t="s">
        <v>39</v>
      </c>
      <c r="P1" t="s">
        <v>38</v>
      </c>
      <c r="Q1" t="s">
        <v>77</v>
      </c>
      <c r="R1" t="s">
        <v>40</v>
      </c>
      <c r="S1" s="31" t="s">
        <v>41</v>
      </c>
      <c r="T1" t="s">
        <v>82</v>
      </c>
      <c r="U1" t="s">
        <v>43</v>
      </c>
      <c r="V1" t="s">
        <v>42</v>
      </c>
      <c r="W1"/>
    </row>
    <row r="2" spans="1:23" x14ac:dyDescent="0.25">
      <c r="B2" s="23" t="s">
        <v>261</v>
      </c>
      <c r="C2" s="23">
        <v>1</v>
      </c>
      <c r="D2" t="s">
        <v>129</v>
      </c>
      <c r="E2" t="s">
        <v>5</v>
      </c>
      <c r="F2" t="s">
        <v>23</v>
      </c>
      <c r="G2" s="25">
        <v>13</v>
      </c>
      <c r="H2" s="25">
        <v>0</v>
      </c>
      <c r="I2" s="25">
        <v>0</v>
      </c>
      <c r="J2" s="22">
        <v>4.1666666666666664E-2</v>
      </c>
      <c r="K2" s="22">
        <v>0</v>
      </c>
      <c r="L2" s="2">
        <v>0</v>
      </c>
      <c r="M2" s="24">
        <f>_xlfn.LET(
    _xlpm.qty, C2,
    _xlpm.weight_g, G2 + H2 + Jobs[[#This Row],[Flushed/g]],
    _xlpm.material, TRIM(E2),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35490</v>
      </c>
      <c r="N2" s="24">
        <f>_xlfn.LET(
    _xlpm.qty, C2,
    _xlpm.hours, J2*24,
    _xlpm.power_w, _xlfn.XLOOKUP(TRIM(D2), Settings!$F$4:$F$101, Settings!$G$4:$G$101, 120),
    _xlpm.rate, Settings!$D$4,
    _xlpm.qty * _xlpm.hours * (_xlpm.power_w / 1000) * _xlpm.rate
)</f>
        <v>97.44</v>
      </c>
      <c r="O2" s="2">
        <f>_xlfn.LET(
    _xlpm.qty, C2,
    _xlpm.hours, J2*24,
    _xlpm.price, _xlfn.XLOOKUP(TRIM(D2), Settings!$F$4:$F$101, Settings!$H$4:$H$101, 0),
    _xlpm.life, _xlfn.XLOOKUP(TRIM(D2), Settings!$F$4:$F$101, Settings!$I$4:$I$101, 1),
    _xlpm.qty * _xlpm.hours * (_xlpm.price / _xlpm.life)
)</f>
        <v>18800</v>
      </c>
      <c r="P2" s="2">
        <f>_xlfn.LET(
    _xlpm.qty, C2,
    _xlpm.hours, J2*24,
    _xlpm.price, _xlfn.XLOOKUP(TRIM(D2), Settings!$F$4:$F$101, Settings!$H$4:$H$101, 0),
    _xlpm.life, _xlfn.XLOOKUP(TRIM(D2), Settings!$F$4:$F$101, Settings!$I$4:$I$101, 1),
    _xlpm.pct, _xlfn.XLOOKUP(TRIM(D2), Settings!$F$4:$F$101, Settings!$J$4:$J$101, 0),
    _xlpm.qty * _xlpm.hours * (_xlpm.price / _xlpm.life * _xlpm.pct)
)</f>
        <v>940</v>
      </c>
      <c r="Q2" s="2">
        <f>Jobs[[#This Row],[Post Pro/h]]*Settings!$D$18</f>
        <v>0</v>
      </c>
      <c r="R2" s="2">
        <f>(Jobs[[#This Row],[power/t]]+Jobs[[#This Row],[Matrial/t]]+Jobs[[#This Row],[downturn/t]]+Jobs[[#This Row],[Maintenance/t]]+Jobs[[#This Row],[Coloring/t]]+Jobs[[#This Row],[Extras]])*Settings!$D$12</f>
        <v>16598.232</v>
      </c>
      <c r="S2" s="2">
        <f>Jobs[[#This Row],[Matrial/t]] + Jobs[[#This Row],[power/t]] + Jobs[[#This Row],[downturn/t]] + Jobs[[#This Row],[Maintenance/t]] + Jobs[[#This Row],[Coloring/t]] + Jobs[[#This Row],[overhead/t]] + Jobs[[#This Row],[Extras]]</f>
        <v>71925.672000000006</v>
      </c>
      <c r="T2" s="2">
        <f>S2*(1+Settings!$D$5)</f>
        <v>215777.016</v>
      </c>
      <c r="U2" s="2">
        <f>Jobs[[#This Row],[Sugested Price/t]] - Jobs[[#This Row],[base price/t]]</f>
        <v>143851.34399999998</v>
      </c>
      <c r="V2" s="3">
        <f>IFERROR(Jobs[[#This Row],[Gross margin/t]] / Jobs[[#This Row],[base price/t]], 0)</f>
        <v>1.9999999999999996</v>
      </c>
      <c r="W2"/>
    </row>
    <row r="3" spans="1:23" x14ac:dyDescent="0.25">
      <c r="B3" s="18" t="s">
        <v>262</v>
      </c>
      <c r="C3" s="18">
        <v>1</v>
      </c>
      <c r="D3" t="s">
        <v>129</v>
      </c>
      <c r="E3" t="s">
        <v>5</v>
      </c>
      <c r="F3" t="s">
        <v>32</v>
      </c>
      <c r="G3" s="1">
        <v>4.18</v>
      </c>
      <c r="H3" s="1">
        <v>2.82</v>
      </c>
      <c r="I3" s="1">
        <v>0</v>
      </c>
      <c r="J3" s="22">
        <v>4.1666666666666664E-2</v>
      </c>
      <c r="K3" s="22"/>
      <c r="L3" s="2"/>
      <c r="M3" s="2">
        <f>_xlfn.LET(
    _xlpm.qty, C3,
    _xlpm.weight_g, G3 + H3 + Jobs[[#This Row],[Flushed/g]],
    _xlpm.material, TRIM(E3),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19110</v>
      </c>
      <c r="N3" s="2">
        <f>_xlfn.LET(
    _xlpm.qty, C3,
    _xlpm.hours, J3*24,
    _xlpm.power_w, _xlfn.XLOOKUP(TRIM(D3), Settings!$F$4:$F$101, Settings!$G$4:$G$101, 120),
    _xlpm.rate, Settings!$D$4,
    _xlpm.qty * _xlpm.hours * (_xlpm.power_w / 1000) * _xlpm.rate
)</f>
        <v>97.44</v>
      </c>
      <c r="O3" s="2">
        <f>_xlfn.LET(
    _xlpm.qty, C3,
    _xlpm.hours, J3*24,
    _xlpm.price, _xlfn.XLOOKUP(TRIM(D3), Settings!$F$4:$F$101, Settings!$H$4:$H$101, 0),
    _xlpm.life, _xlfn.XLOOKUP(TRIM(D3), Settings!$F$4:$F$101, Settings!$I$4:$I$101, 1),
    _xlpm.qty * _xlpm.hours * (_xlpm.price / _xlpm.life)
)</f>
        <v>18800</v>
      </c>
      <c r="P3" s="2">
        <f>_xlfn.LET(
    _xlpm.qty, C3,
    _xlpm.hours, J3*24,
    _xlpm.price, _xlfn.XLOOKUP(TRIM(D3), Settings!$F$4:$F$101, Settings!$H$4:$H$101, 0),
    _xlpm.life, _xlfn.XLOOKUP(TRIM(D3), Settings!$F$4:$F$101, Settings!$I$4:$I$101, 1),
    _xlpm.pct, _xlfn.XLOOKUP(TRIM(D3), Settings!$F$4:$F$101, Settings!$J$4:$J$101, 0),
    _xlpm.qty * _xlpm.hours * (_xlpm.price / _xlpm.life * _xlpm.pct)
)</f>
        <v>940</v>
      </c>
      <c r="Q3" s="2">
        <f>Jobs[[#This Row],[Post Pro/h]]*Settings!$D$18</f>
        <v>0</v>
      </c>
      <c r="R3" s="2">
        <f>(Jobs[[#This Row],[power/t]]+Jobs[[#This Row],[Matrial/t]]+Jobs[[#This Row],[downturn/t]]+Jobs[[#This Row],[Maintenance/t]]+Jobs[[#This Row],[Coloring/t]]+Jobs[[#This Row],[Extras]])*Settings!$D$12</f>
        <v>11684.232</v>
      </c>
      <c r="S3" s="2">
        <f>Jobs[[#This Row],[Matrial/t]] + Jobs[[#This Row],[power/t]] + Jobs[[#This Row],[downturn/t]] + Jobs[[#This Row],[Maintenance/t]] + Jobs[[#This Row],[Coloring/t]] + Jobs[[#This Row],[overhead/t]] + Jobs[[#This Row],[Extras]]</f>
        <v>50631.672000000006</v>
      </c>
      <c r="T3" s="2">
        <f>S3*(1+Settings!$D$5)</f>
        <v>151895.016</v>
      </c>
      <c r="U3" s="2">
        <f>Jobs[[#This Row],[Sugested Price/t]] - Jobs[[#This Row],[base price/t]]</f>
        <v>101263.344</v>
      </c>
      <c r="V3" s="3">
        <f>IFERROR(Jobs[[#This Row],[Gross margin/t]] / Jobs[[#This Row],[base price/t]], 0)</f>
        <v>1.9999999999999998</v>
      </c>
      <c r="W3"/>
    </row>
    <row r="4" spans="1:23" x14ac:dyDescent="0.25">
      <c r="B4" s="18" t="s">
        <v>263</v>
      </c>
      <c r="C4" s="18">
        <v>1</v>
      </c>
      <c r="D4" t="s">
        <v>129</v>
      </c>
      <c r="E4" t="s">
        <v>5</v>
      </c>
      <c r="F4" t="s">
        <v>22</v>
      </c>
      <c r="G4" s="1">
        <v>159</v>
      </c>
      <c r="H4" s="1">
        <v>0</v>
      </c>
      <c r="I4" s="1">
        <v>0</v>
      </c>
      <c r="J4" s="22">
        <v>0.25</v>
      </c>
      <c r="K4" s="22">
        <v>0</v>
      </c>
      <c r="L4" s="2"/>
      <c r="M4" s="2">
        <f>_xlfn.LET(
    _xlpm.qty, C4,
    _xlpm.weight_g, G4 + H4 + Jobs[[#This Row],[Flushed/g]],
    _xlpm.material, TRIM(E4),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434070</v>
      </c>
      <c r="N4" s="2">
        <f>_xlfn.LET(
    _xlpm.qty, C4,
    _xlpm.hours, J4*24,
    _xlpm.power_w, _xlfn.XLOOKUP(TRIM(D4), Settings!$F$4:$F$101, Settings!$G$4:$G$101, 120),
    _xlpm.rate, Settings!$D$4,
    _xlpm.qty * _xlpm.hours * (_xlpm.power_w / 1000) * _xlpm.rate
)</f>
        <v>584.64</v>
      </c>
      <c r="O4" s="2">
        <f>_xlfn.LET(
    _xlpm.qty, C4,
    _xlpm.hours, J4*24,
    _xlpm.price, _xlfn.XLOOKUP(TRIM(D4), Settings!$F$4:$F$101, Settings!$H$4:$H$101, 0),
    _xlpm.life, _xlfn.XLOOKUP(TRIM(D4), Settings!$F$4:$F$101, Settings!$I$4:$I$101, 1),
    _xlpm.qty * _xlpm.hours * (_xlpm.price / _xlpm.life)
)</f>
        <v>112800</v>
      </c>
      <c r="P4" s="2">
        <f>_xlfn.LET(
    _xlpm.qty, C4,
    _xlpm.hours, J4*24,
    _xlpm.price, _xlfn.XLOOKUP(TRIM(D4), Settings!$F$4:$F$101, Settings!$H$4:$H$101, 0),
    _xlpm.life, _xlfn.XLOOKUP(TRIM(D4), Settings!$F$4:$F$101, Settings!$I$4:$I$101, 1),
    _xlpm.pct, _xlfn.XLOOKUP(TRIM(D4), Settings!$F$4:$F$101, Settings!$J$4:$J$101, 0),
    _xlpm.qty * _xlpm.hours * (_xlpm.price / _xlpm.life * _xlpm.pct)
)</f>
        <v>5640</v>
      </c>
      <c r="Q4" s="2">
        <f>Jobs[[#This Row],[Post Pro/h]]*Settings!$D$18</f>
        <v>0</v>
      </c>
      <c r="R4" s="2">
        <f>(Jobs[[#This Row],[power/t]]+Jobs[[#This Row],[Matrial/t]]+Jobs[[#This Row],[downturn/t]]+Jobs[[#This Row],[Maintenance/t]]+Jobs[[#This Row],[Coloring/t]]+Jobs[[#This Row],[Extras]])*Settings!$D$12</f>
        <v>165928.39199999999</v>
      </c>
      <c r="S4" s="2">
        <f>Jobs[[#This Row],[Matrial/t]] + Jobs[[#This Row],[power/t]] + Jobs[[#This Row],[downturn/t]] + Jobs[[#This Row],[Maintenance/t]] + Jobs[[#This Row],[Coloring/t]] + Jobs[[#This Row],[overhead/t]] + Jobs[[#This Row],[Extras]]</f>
        <v>719023.03200000001</v>
      </c>
      <c r="T4" s="2">
        <f>S4*(1+Settings!$D$5)</f>
        <v>2157069.0959999999</v>
      </c>
      <c r="U4" s="2">
        <f>Jobs[[#This Row],[Sugested Price/t]] - Jobs[[#This Row],[base price/t]]</f>
        <v>1438046.0639999998</v>
      </c>
      <c r="V4" s="3">
        <f>IFERROR(Jobs[[#This Row],[Gross margin/t]] / Jobs[[#This Row],[base price/t]], 0)</f>
        <v>1.9999999999999998</v>
      </c>
      <c r="W4"/>
    </row>
    <row r="5" spans="1:23" x14ac:dyDescent="0.25">
      <c r="B5" s="18" t="s">
        <v>264</v>
      </c>
      <c r="C5" s="18">
        <v>1</v>
      </c>
      <c r="D5" t="s">
        <v>129</v>
      </c>
      <c r="E5" t="s">
        <v>5</v>
      </c>
      <c r="F5" t="s">
        <v>22</v>
      </c>
      <c r="G5" s="1">
        <v>32</v>
      </c>
      <c r="H5" s="1">
        <v>0</v>
      </c>
      <c r="I5" s="1">
        <v>0</v>
      </c>
      <c r="J5" s="22">
        <v>8.3333333333333329E-2</v>
      </c>
      <c r="K5" s="22"/>
      <c r="L5" s="2"/>
      <c r="M5" s="2">
        <f>_xlfn.LET(
    _xlpm.qty, C5,
    _xlpm.weight_g, G5 + H5 + Jobs[[#This Row],[Flushed/g]],
    _xlpm.material, TRIM(E5),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87360</v>
      </c>
      <c r="N5" s="2">
        <f>_xlfn.LET(
    _xlpm.qty, C5,
    _xlpm.hours, J5*24,
    _xlpm.power_w, _xlfn.XLOOKUP(TRIM(D5), Settings!$F$4:$F$101, Settings!$G$4:$G$101, 120),
    _xlpm.rate, Settings!$D$4,
    _xlpm.qty * _xlpm.hours * (_xlpm.power_w / 1000) * _xlpm.rate
)</f>
        <v>194.88</v>
      </c>
      <c r="O5" s="2">
        <f>_xlfn.LET(
    _xlpm.qty, C5,
    _xlpm.hours, J5*24,
    _xlpm.price, _xlfn.XLOOKUP(TRIM(D5), Settings!$F$4:$F$101, Settings!$H$4:$H$101, 0),
    _xlpm.life, _xlfn.XLOOKUP(TRIM(D5), Settings!$F$4:$F$101, Settings!$I$4:$I$101, 1),
    _xlpm.qty * _xlpm.hours * (_xlpm.price / _xlpm.life)
)</f>
        <v>37600</v>
      </c>
      <c r="P5" s="2">
        <f>_xlfn.LET(
    _xlpm.qty, C5,
    _xlpm.hours, J5*24,
    _xlpm.price, _xlfn.XLOOKUP(TRIM(D5), Settings!$F$4:$F$101, Settings!$H$4:$H$101, 0),
    _xlpm.life, _xlfn.XLOOKUP(TRIM(D5), Settings!$F$4:$F$101, Settings!$I$4:$I$101, 1),
    _xlpm.pct, _xlfn.XLOOKUP(TRIM(D5), Settings!$F$4:$F$101, Settings!$J$4:$J$101, 0),
    _xlpm.qty * _xlpm.hours * (_xlpm.price / _xlpm.life * _xlpm.pct)
)</f>
        <v>1880</v>
      </c>
      <c r="Q5" s="2">
        <f>Jobs[[#This Row],[Post Pro/h]]*Settings!$D$18</f>
        <v>0</v>
      </c>
      <c r="R5" s="2">
        <f>(Jobs[[#This Row],[power/t]]+Jobs[[#This Row],[Matrial/t]]+Jobs[[#This Row],[downturn/t]]+Jobs[[#This Row],[Maintenance/t]]+Jobs[[#This Row],[Coloring/t]]+Jobs[[#This Row],[Extras]])*Settings!$D$12</f>
        <v>38110.464</v>
      </c>
      <c r="S5" s="2">
        <f>Jobs[[#This Row],[Matrial/t]] + Jobs[[#This Row],[power/t]] + Jobs[[#This Row],[downturn/t]] + Jobs[[#This Row],[Maintenance/t]] + Jobs[[#This Row],[Coloring/t]] + Jobs[[#This Row],[overhead/t]] + Jobs[[#This Row],[Extras]]</f>
        <v>165145.34400000001</v>
      </c>
      <c r="T5" s="2">
        <f>S5*(1+Settings!$D$5)</f>
        <v>495436.03200000001</v>
      </c>
      <c r="U5" s="2">
        <f>Jobs[[#This Row],[Sugested Price/t]] - Jobs[[#This Row],[base price/t]]</f>
        <v>330290.68799999997</v>
      </c>
      <c r="V5" s="3">
        <f>IFERROR(Jobs[[#This Row],[Gross margin/t]] / Jobs[[#This Row],[base price/t]], 0)</f>
        <v>1.9999999999999996</v>
      </c>
      <c r="W5"/>
    </row>
    <row r="6" spans="1:23" x14ac:dyDescent="0.25">
      <c r="B6" s="18" t="s">
        <v>265</v>
      </c>
      <c r="C6" s="18">
        <v>1</v>
      </c>
      <c r="D6" t="s">
        <v>129</v>
      </c>
      <c r="E6" t="s">
        <v>5</v>
      </c>
      <c r="F6" t="s">
        <v>32</v>
      </c>
      <c r="G6" s="1">
        <v>3</v>
      </c>
      <c r="H6" s="1">
        <v>0</v>
      </c>
      <c r="I6" s="1">
        <v>0</v>
      </c>
      <c r="J6" s="22">
        <v>3.125E-2</v>
      </c>
      <c r="K6" s="22"/>
      <c r="L6" s="2"/>
      <c r="M6" s="2">
        <f>_xlfn.LET(
    _xlpm.qty, C6,
    _xlpm.weight_g, G6 + H6 + Jobs[[#This Row],[Flushed/g]],
    _xlpm.material, TRIM(E6),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8190</v>
      </c>
      <c r="N6" s="2">
        <f>_xlfn.LET(
    _xlpm.qty, C6,
    _xlpm.hours, J6*24,
    _xlpm.power_w, _xlfn.XLOOKUP(TRIM(D6), Settings!$F$4:$F$101, Settings!$G$4:$G$101, 120),
    _xlpm.rate, Settings!$D$4,
    _xlpm.qty * _xlpm.hours * (_xlpm.power_w / 1000) * _xlpm.rate
)</f>
        <v>73.08</v>
      </c>
      <c r="O6" s="2">
        <f>_xlfn.LET(
    _xlpm.qty, C6,
    _xlpm.hours, J6*24,
    _xlpm.price, _xlfn.XLOOKUP(TRIM(D6), Settings!$F$4:$F$101, Settings!$H$4:$H$101, 0),
    _xlpm.life, _xlfn.XLOOKUP(TRIM(D6), Settings!$F$4:$F$101, Settings!$I$4:$I$101, 1),
    _xlpm.qty * _xlpm.hours * (_xlpm.price / _xlpm.life)
)</f>
        <v>14100</v>
      </c>
      <c r="P6" s="2">
        <f>_xlfn.LET(
    _xlpm.qty, C6,
    _xlpm.hours, J6*24,
    _xlpm.price, _xlfn.XLOOKUP(TRIM(D6), Settings!$F$4:$F$101, Settings!$H$4:$H$101, 0),
    _xlpm.life, _xlfn.XLOOKUP(TRIM(D6), Settings!$F$4:$F$101, Settings!$I$4:$I$101, 1),
    _xlpm.pct, _xlfn.XLOOKUP(TRIM(D6), Settings!$F$4:$F$101, Settings!$J$4:$J$101, 0),
    _xlpm.qty * _xlpm.hours * (_xlpm.price / _xlpm.life * _xlpm.pct)
)</f>
        <v>705</v>
      </c>
      <c r="Q6" s="2">
        <f>Jobs[[#This Row],[Post Pro/h]]*Settings!$D$18</f>
        <v>0</v>
      </c>
      <c r="R6" s="2">
        <f>(Jobs[[#This Row],[power/t]]+Jobs[[#This Row],[Matrial/t]]+Jobs[[#This Row],[downturn/t]]+Jobs[[#This Row],[Maintenance/t]]+Jobs[[#This Row],[Coloring/t]]+Jobs[[#This Row],[Extras]])*Settings!$D$12</f>
        <v>6920.424</v>
      </c>
      <c r="S6" s="2">
        <f>Jobs[[#This Row],[Matrial/t]] + Jobs[[#This Row],[power/t]] + Jobs[[#This Row],[downturn/t]] + Jobs[[#This Row],[Maintenance/t]] + Jobs[[#This Row],[Coloring/t]] + Jobs[[#This Row],[overhead/t]] + Jobs[[#This Row],[Extras]]</f>
        <v>29988.504000000001</v>
      </c>
      <c r="T6" s="2">
        <f>S6*(1+Settings!$D$5)</f>
        <v>89965.512000000002</v>
      </c>
      <c r="U6" s="2">
        <f>Jobs[[#This Row],[Sugested Price/t]] - Jobs[[#This Row],[base price/t]]</f>
        <v>59977.008000000002</v>
      </c>
      <c r="V6" s="3">
        <f>IFERROR(Jobs[[#This Row],[Gross margin/t]] / Jobs[[#This Row],[base price/t]], 0)</f>
        <v>2</v>
      </c>
      <c r="W6"/>
    </row>
    <row r="7" spans="1:23" x14ac:dyDescent="0.25">
      <c r="B7" s="18" t="s">
        <v>266</v>
      </c>
      <c r="C7" s="18">
        <v>1</v>
      </c>
      <c r="D7" t="s">
        <v>129</v>
      </c>
      <c r="E7" t="s">
        <v>5</v>
      </c>
      <c r="F7" t="s">
        <v>22</v>
      </c>
      <c r="G7" s="1">
        <v>21</v>
      </c>
      <c r="H7" s="1">
        <v>0</v>
      </c>
      <c r="I7" s="1">
        <v>0</v>
      </c>
      <c r="J7" s="22">
        <v>7.2916666666666671E-2</v>
      </c>
      <c r="K7" s="22"/>
      <c r="L7" s="2"/>
      <c r="M7" s="2">
        <f>_xlfn.LET(
    _xlpm.qty, C7,
    _xlpm.weight_g, G7 + H7 + Jobs[[#This Row],[Flushed/g]],
    _xlpm.material, TRIM(E7),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57330</v>
      </c>
      <c r="N7" s="2">
        <f>_xlfn.LET(
    _xlpm.qty, C7,
    _xlpm.hours, J7*24,
    _xlpm.power_w, _xlfn.XLOOKUP(TRIM(D7), Settings!$F$4:$F$101, Settings!$G$4:$G$101, 120),
    _xlpm.rate, Settings!$D$4,
    _xlpm.qty * _xlpm.hours * (_xlpm.power_w / 1000) * _xlpm.rate
)</f>
        <v>170.51999999999998</v>
      </c>
      <c r="O7" s="2">
        <f>_xlfn.LET(
    _xlpm.qty, C7,
    _xlpm.hours, J7*24,
    _xlpm.price, _xlfn.XLOOKUP(TRIM(D7), Settings!$F$4:$F$101, Settings!$H$4:$H$101, 0),
    _xlpm.life, _xlfn.XLOOKUP(TRIM(D7), Settings!$F$4:$F$101, Settings!$I$4:$I$101, 1),
    _xlpm.qty * _xlpm.hours * (_xlpm.price / _xlpm.life)
)</f>
        <v>32900</v>
      </c>
      <c r="P7" s="2">
        <f>_xlfn.LET(
    _xlpm.qty, C7,
    _xlpm.hours, J7*24,
    _xlpm.price, _xlfn.XLOOKUP(TRIM(D7), Settings!$F$4:$F$101, Settings!$H$4:$H$101, 0),
    _xlpm.life, _xlfn.XLOOKUP(TRIM(D7), Settings!$F$4:$F$101, Settings!$I$4:$I$101, 1),
    _xlpm.pct, _xlfn.XLOOKUP(TRIM(D7), Settings!$F$4:$F$101, Settings!$J$4:$J$101, 0),
    _xlpm.qty * _xlpm.hours * (_xlpm.price / _xlpm.life * _xlpm.pct)
)</f>
        <v>1645</v>
      </c>
      <c r="Q7" s="2">
        <f>Jobs[[#This Row],[Post Pro/h]]*Settings!$D$18</f>
        <v>0</v>
      </c>
      <c r="R7" s="2">
        <f>(Jobs[[#This Row],[power/t]]+Jobs[[#This Row],[Matrial/t]]+Jobs[[#This Row],[downturn/t]]+Jobs[[#This Row],[Maintenance/t]]+Jobs[[#This Row],[Coloring/t]]+Jobs[[#This Row],[Extras]])*Settings!$D$12</f>
        <v>27613.655999999995</v>
      </c>
      <c r="S7" s="2">
        <f>Jobs[[#This Row],[Matrial/t]] + Jobs[[#This Row],[power/t]] + Jobs[[#This Row],[downturn/t]] + Jobs[[#This Row],[Maintenance/t]] + Jobs[[#This Row],[Coloring/t]] + Jobs[[#This Row],[overhead/t]] + Jobs[[#This Row],[Extras]]</f>
        <v>119659.17599999998</v>
      </c>
      <c r="T7" s="2">
        <f>S7*(1+Settings!$D$5)</f>
        <v>358977.52799999993</v>
      </c>
      <c r="U7" s="2">
        <f>Jobs[[#This Row],[Sugested Price/t]] - Jobs[[#This Row],[base price/t]]</f>
        <v>239318.35199999996</v>
      </c>
      <c r="V7" s="3">
        <f>IFERROR(Jobs[[#This Row],[Gross margin/t]] / Jobs[[#This Row],[base price/t]], 0)</f>
        <v>2</v>
      </c>
      <c r="W7"/>
    </row>
    <row r="8" spans="1:23" x14ac:dyDescent="0.25">
      <c r="B8" s="18" t="s">
        <v>267</v>
      </c>
      <c r="C8" s="18">
        <v>1</v>
      </c>
      <c r="D8" t="s">
        <v>129</v>
      </c>
      <c r="E8" t="s">
        <v>7</v>
      </c>
      <c r="F8" t="s">
        <v>22</v>
      </c>
      <c r="G8" s="1">
        <v>28</v>
      </c>
      <c r="H8" s="1">
        <v>0</v>
      </c>
      <c r="I8" s="1">
        <v>0</v>
      </c>
      <c r="J8" s="22">
        <v>6.25E-2</v>
      </c>
      <c r="K8" s="22"/>
      <c r="L8" s="2"/>
      <c r="M8" s="2">
        <f>_xlfn.LET(
    _xlpm.qty, C8,
    _xlpm.weight_g, G8 + H8 + Jobs[[#This Row],[Flushed/g]],
    _xlpm.material, TRIM(E8),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95872</v>
      </c>
      <c r="N8" s="2">
        <f>_xlfn.LET(
    _xlpm.qty, C8,
    _xlpm.hours, J8*24,
    _xlpm.power_w, _xlfn.XLOOKUP(TRIM(D8), Settings!$F$4:$F$101, Settings!$G$4:$G$101, 120),
    _xlpm.rate, Settings!$D$4,
    _xlpm.qty * _xlpm.hours * (_xlpm.power_w / 1000) * _xlpm.rate
)</f>
        <v>146.16</v>
      </c>
      <c r="O8" s="2">
        <f>_xlfn.LET(
    _xlpm.qty, C8,
    _xlpm.hours, J8*24,
    _xlpm.price, _xlfn.XLOOKUP(TRIM(D8), Settings!$F$4:$F$101, Settings!$H$4:$H$101, 0),
    _xlpm.life, _xlfn.XLOOKUP(TRIM(D8), Settings!$F$4:$F$101, Settings!$I$4:$I$101, 1),
    _xlpm.qty * _xlpm.hours * (_xlpm.price / _xlpm.life)
)</f>
        <v>28200</v>
      </c>
      <c r="P8" s="2">
        <f>_xlfn.LET(
    _xlpm.qty, C8,
    _xlpm.hours, J8*24,
    _xlpm.price, _xlfn.XLOOKUP(TRIM(D8), Settings!$F$4:$F$101, Settings!$H$4:$H$101, 0),
    _xlpm.life, _xlfn.XLOOKUP(TRIM(D8), Settings!$F$4:$F$101, Settings!$I$4:$I$101, 1),
    _xlpm.pct, _xlfn.XLOOKUP(TRIM(D8), Settings!$F$4:$F$101, Settings!$J$4:$J$101, 0),
    _xlpm.qty * _xlpm.hours * (_xlpm.price / _xlpm.life * _xlpm.pct)
)</f>
        <v>1410</v>
      </c>
      <c r="Q8" s="2">
        <f>Jobs[[#This Row],[Post Pro/h]]*Settings!$D$18</f>
        <v>0</v>
      </c>
      <c r="R8" s="2">
        <f>(Jobs[[#This Row],[power/t]]+Jobs[[#This Row],[Matrial/t]]+Jobs[[#This Row],[downturn/t]]+Jobs[[#This Row],[Maintenance/t]]+Jobs[[#This Row],[Coloring/t]]+Jobs[[#This Row],[Extras]])*Settings!$D$12</f>
        <v>37688.447999999997</v>
      </c>
      <c r="S8" s="2">
        <f>Jobs[[#This Row],[Matrial/t]] + Jobs[[#This Row],[power/t]] + Jobs[[#This Row],[downturn/t]] + Jobs[[#This Row],[Maintenance/t]] + Jobs[[#This Row],[Coloring/t]] + Jobs[[#This Row],[overhead/t]] + Jobs[[#This Row],[Extras]]</f>
        <v>163316.60800000001</v>
      </c>
      <c r="T8" s="2">
        <f>S8*(1+Settings!$D$5)</f>
        <v>489949.82400000002</v>
      </c>
      <c r="U8" s="2">
        <f>Jobs[[#This Row],[Sugested Price/t]] - Jobs[[#This Row],[base price/t]]</f>
        <v>326633.21600000001</v>
      </c>
      <c r="V8" s="3">
        <f>IFERROR(Jobs[[#This Row],[Gross margin/t]] / Jobs[[#This Row],[base price/t]], 0)</f>
        <v>2</v>
      </c>
      <c r="W8"/>
    </row>
    <row r="9" spans="1:23" x14ac:dyDescent="0.25">
      <c r="B9" s="18" t="s">
        <v>268</v>
      </c>
      <c r="C9" s="18">
        <v>1</v>
      </c>
      <c r="D9" t="s">
        <v>129</v>
      </c>
      <c r="E9" t="s">
        <v>5</v>
      </c>
      <c r="F9" t="s">
        <v>23</v>
      </c>
      <c r="G9" s="1">
        <v>23</v>
      </c>
      <c r="H9" s="1">
        <v>0</v>
      </c>
      <c r="I9" s="1">
        <v>0</v>
      </c>
      <c r="J9" s="22">
        <v>7.6388888888888895E-2</v>
      </c>
      <c r="K9" s="22"/>
      <c r="L9" s="2"/>
      <c r="M9" s="2">
        <f>_xlfn.LET(
    _xlpm.qty, C9,
    _xlpm.weight_g, G9 + H9 + Jobs[[#This Row],[Flushed/g]],
    _xlpm.material, TRIM(E9),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62790</v>
      </c>
      <c r="N9" s="2">
        <f>_xlfn.LET(
    _xlpm.qty, C9,
    _xlpm.hours, J9*24,
    _xlpm.power_w, _xlfn.XLOOKUP(TRIM(D9), Settings!$F$4:$F$101, Settings!$G$4:$G$101, 120),
    _xlpm.rate, Settings!$D$4,
    _xlpm.qty * _xlpm.hours * (_xlpm.power_w / 1000) * _xlpm.rate
)</f>
        <v>178.64000000000001</v>
      </c>
      <c r="O9" s="2">
        <f>_xlfn.LET(
    _xlpm.qty, C9,
    _xlpm.hours, J9*24,
    _xlpm.price, _xlfn.XLOOKUP(TRIM(D9), Settings!$F$4:$F$101, Settings!$H$4:$H$101, 0),
    _xlpm.life, _xlfn.XLOOKUP(TRIM(D9), Settings!$F$4:$F$101, Settings!$I$4:$I$101, 1),
    _xlpm.qty * _xlpm.hours * (_xlpm.price / _xlpm.life)
)</f>
        <v>34466.666666666672</v>
      </c>
      <c r="P9" s="2">
        <f>_xlfn.LET(
    _xlpm.qty, C9,
    _xlpm.hours, J9*24,
    _xlpm.price, _xlfn.XLOOKUP(TRIM(D9), Settings!$F$4:$F$101, Settings!$H$4:$H$101, 0),
    _xlpm.life, _xlfn.XLOOKUP(TRIM(D9), Settings!$F$4:$F$101, Settings!$I$4:$I$101, 1),
    _xlpm.pct, _xlfn.XLOOKUP(TRIM(D9), Settings!$F$4:$F$101, Settings!$J$4:$J$101, 0),
    _xlpm.qty * _xlpm.hours * (_xlpm.price / _xlpm.life * _xlpm.pct)
)</f>
        <v>1723.3333333333335</v>
      </c>
      <c r="Q9" s="2">
        <f>Jobs[[#This Row],[Post Pro/h]]*Settings!$D$18</f>
        <v>0</v>
      </c>
      <c r="R9" s="2">
        <f>(Jobs[[#This Row],[power/t]]+Jobs[[#This Row],[Matrial/t]]+Jobs[[#This Row],[downturn/t]]+Jobs[[#This Row],[Maintenance/t]]+Jobs[[#This Row],[Coloring/t]]+Jobs[[#This Row],[Extras]])*Settings!$D$12</f>
        <v>29747.591999999997</v>
      </c>
      <c r="S9" s="2">
        <f>Jobs[[#This Row],[Matrial/t]] + Jobs[[#This Row],[power/t]] + Jobs[[#This Row],[downturn/t]] + Jobs[[#This Row],[Maintenance/t]] + Jobs[[#This Row],[Coloring/t]] + Jobs[[#This Row],[overhead/t]] + Jobs[[#This Row],[Extras]]</f>
        <v>128906.23199999999</v>
      </c>
      <c r="T9" s="2">
        <f>S9*(1+Settings!$D$5)</f>
        <v>386718.696</v>
      </c>
      <c r="U9" s="2">
        <f>Jobs[[#This Row],[Sugested Price/t]] - Jobs[[#This Row],[base price/t]]</f>
        <v>257812.46400000001</v>
      </c>
      <c r="V9" s="3">
        <f>IFERROR(Jobs[[#This Row],[Gross margin/t]] / Jobs[[#This Row],[base price/t]], 0)</f>
        <v>2.0000000000000004</v>
      </c>
      <c r="W9"/>
    </row>
    <row r="10" spans="1:23" x14ac:dyDescent="0.25">
      <c r="B10" s="18" t="s">
        <v>269</v>
      </c>
      <c r="C10" s="18">
        <v>1</v>
      </c>
      <c r="D10" t="s">
        <v>129</v>
      </c>
      <c r="E10" t="s">
        <v>5</v>
      </c>
      <c r="F10" t="s">
        <v>22</v>
      </c>
      <c r="G10" s="1">
        <v>20</v>
      </c>
      <c r="H10" s="1">
        <v>0</v>
      </c>
      <c r="I10" s="1">
        <v>0</v>
      </c>
      <c r="J10" s="22">
        <v>4.1666666666666664E-2</v>
      </c>
      <c r="K10" s="22"/>
      <c r="L10" s="2"/>
      <c r="M10" s="2">
        <f>_xlfn.LET(
    _xlpm.qty, C10,
    _xlpm.weight_g, G10 + H10 + Jobs[[#This Row],[Flushed/g]],
    _xlpm.material, TRIM(E10),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54600</v>
      </c>
      <c r="N10" s="2">
        <f>_xlfn.LET(
    _xlpm.qty, C10,
    _xlpm.hours, J10*24,
    _xlpm.power_w, _xlfn.XLOOKUP(TRIM(D10), Settings!$F$4:$F$101, Settings!$G$4:$G$101, 120),
    _xlpm.rate, Settings!$D$4,
    _xlpm.qty * _xlpm.hours * (_xlpm.power_w / 1000) * _xlpm.rate
)</f>
        <v>97.44</v>
      </c>
      <c r="O10" s="2">
        <f>_xlfn.LET(
    _xlpm.qty, C10,
    _xlpm.hours, J10*24,
    _xlpm.price, _xlfn.XLOOKUP(TRIM(D10), Settings!$F$4:$F$101, Settings!$H$4:$H$101, 0),
    _xlpm.life, _xlfn.XLOOKUP(TRIM(D10), Settings!$F$4:$F$101, Settings!$I$4:$I$101, 1),
    _xlpm.qty * _xlpm.hours * (_xlpm.price / _xlpm.life)
)</f>
        <v>18800</v>
      </c>
      <c r="P10" s="2">
        <f>_xlfn.LET(
    _xlpm.qty, C10,
    _xlpm.hours, J10*24,
    _xlpm.price, _xlfn.XLOOKUP(TRIM(D10), Settings!$F$4:$F$101, Settings!$H$4:$H$101, 0),
    _xlpm.life, _xlfn.XLOOKUP(TRIM(D10), Settings!$F$4:$F$101, Settings!$I$4:$I$101, 1),
    _xlpm.pct, _xlfn.XLOOKUP(TRIM(D10), Settings!$F$4:$F$101, Settings!$J$4:$J$101, 0),
    _xlpm.qty * _xlpm.hours * (_xlpm.price / _xlpm.life * _xlpm.pct)
)</f>
        <v>940</v>
      </c>
      <c r="Q10" s="2">
        <f>Jobs[[#This Row],[Post Pro/h]]*Settings!$D$18</f>
        <v>0</v>
      </c>
      <c r="R10" s="2">
        <f>(Jobs[[#This Row],[power/t]]+Jobs[[#This Row],[Matrial/t]]+Jobs[[#This Row],[downturn/t]]+Jobs[[#This Row],[Maintenance/t]]+Jobs[[#This Row],[Coloring/t]]+Jobs[[#This Row],[Extras]])*Settings!$D$12</f>
        <v>22331.232</v>
      </c>
      <c r="S10" s="2">
        <f>Jobs[[#This Row],[Matrial/t]] + Jobs[[#This Row],[power/t]] + Jobs[[#This Row],[downturn/t]] + Jobs[[#This Row],[Maintenance/t]] + Jobs[[#This Row],[Coloring/t]] + Jobs[[#This Row],[overhead/t]] + Jobs[[#This Row],[Extras]]</f>
        <v>96768.672000000006</v>
      </c>
      <c r="T10" s="2">
        <f>S10*(1+Settings!$D$5)</f>
        <v>290306.016</v>
      </c>
      <c r="U10" s="2">
        <f>Jobs[[#This Row],[Sugested Price/t]] - Jobs[[#This Row],[base price/t]]</f>
        <v>193537.34399999998</v>
      </c>
      <c r="V10" s="3">
        <f>IFERROR(Jobs[[#This Row],[Gross margin/t]] / Jobs[[#This Row],[base price/t]], 0)</f>
        <v>1.9999999999999998</v>
      </c>
      <c r="W10"/>
    </row>
    <row r="11" spans="1:23" x14ac:dyDescent="0.25">
      <c r="B11" s="18" t="s">
        <v>270</v>
      </c>
      <c r="C11" s="18">
        <v>1</v>
      </c>
      <c r="D11" t="s">
        <v>129</v>
      </c>
      <c r="E11" t="s">
        <v>5</v>
      </c>
      <c r="F11" t="s">
        <v>22</v>
      </c>
      <c r="G11" s="1">
        <v>11</v>
      </c>
      <c r="J11" s="22">
        <v>5.5555555555555552E-2</v>
      </c>
      <c r="K11" s="22"/>
      <c r="L11" s="2"/>
      <c r="M11" s="2">
        <f>_xlfn.LET(
    _xlpm.qty, C11,
    _xlpm.weight_g, G11 + H11 + Jobs[[#This Row],[Flushed/g]],
    _xlpm.material, TRIM(E11),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30030</v>
      </c>
      <c r="N11" s="2">
        <f>_xlfn.LET(
    _xlpm.qty, C11,
    _xlpm.hours, J11*24,
    _xlpm.power_w, _xlfn.XLOOKUP(TRIM(D11), Settings!$F$4:$F$101, Settings!$G$4:$G$101, 120),
    _xlpm.rate, Settings!$D$4,
    _xlpm.qty * _xlpm.hours * (_xlpm.power_w / 1000) * _xlpm.rate
)</f>
        <v>129.91999999999999</v>
      </c>
      <c r="O11" s="2">
        <f>_xlfn.LET(
    _xlpm.qty, C11,
    _xlpm.hours, J11*24,
    _xlpm.price, _xlfn.XLOOKUP(TRIM(D11), Settings!$F$4:$F$101, Settings!$H$4:$H$101, 0),
    _xlpm.life, _xlfn.XLOOKUP(TRIM(D11), Settings!$F$4:$F$101, Settings!$I$4:$I$101, 1),
    _xlpm.qty * _xlpm.hours * (_xlpm.price / _xlpm.life)
)</f>
        <v>25066.666666666664</v>
      </c>
      <c r="P11" s="2">
        <f>_xlfn.LET(
    _xlpm.qty, C11,
    _xlpm.hours, J11*24,
    _xlpm.price, _xlfn.XLOOKUP(TRIM(D11), Settings!$F$4:$F$101, Settings!$H$4:$H$101, 0),
    _xlpm.life, _xlfn.XLOOKUP(TRIM(D11), Settings!$F$4:$F$101, Settings!$I$4:$I$101, 1),
    _xlpm.pct, _xlfn.XLOOKUP(TRIM(D11), Settings!$F$4:$F$101, Settings!$J$4:$J$101, 0),
    _xlpm.qty * _xlpm.hours * (_xlpm.price / _xlpm.life * _xlpm.pct)
)</f>
        <v>1253.3333333333333</v>
      </c>
      <c r="Q11" s="2">
        <f>Jobs[[#This Row],[Post Pro/h]]*Settings!$D$18</f>
        <v>0</v>
      </c>
      <c r="R11" s="2">
        <f>(Jobs[[#This Row],[power/t]]+Jobs[[#This Row],[Matrial/t]]+Jobs[[#This Row],[downturn/t]]+Jobs[[#This Row],[Maintenance/t]]+Jobs[[#This Row],[Coloring/t]]+Jobs[[#This Row],[Extras]])*Settings!$D$12</f>
        <v>16943.975999999999</v>
      </c>
      <c r="S11" s="2">
        <f>Jobs[[#This Row],[Matrial/t]] + Jobs[[#This Row],[power/t]] + Jobs[[#This Row],[downturn/t]] + Jobs[[#This Row],[Maintenance/t]] + Jobs[[#This Row],[Coloring/t]] + Jobs[[#This Row],[overhead/t]] + Jobs[[#This Row],[Extras]]</f>
        <v>73423.895999999993</v>
      </c>
      <c r="T11" s="2">
        <f>S11*(1+Settings!$D$5)</f>
        <v>220271.68799999997</v>
      </c>
      <c r="U11" s="2">
        <f>Jobs[[#This Row],[Sugested Price/t]] - Jobs[[#This Row],[base price/t]]</f>
        <v>146847.79199999996</v>
      </c>
      <c r="V11" s="3">
        <f>IFERROR(Jobs[[#This Row],[Gross margin/t]] / Jobs[[#This Row],[base price/t]], 0)</f>
        <v>1.9999999999999996</v>
      </c>
      <c r="W11"/>
    </row>
    <row r="12" spans="1:23" x14ac:dyDescent="0.25">
      <c r="B12" s="18" t="s">
        <v>271</v>
      </c>
      <c r="C12" s="18">
        <v>1</v>
      </c>
      <c r="D12" t="s">
        <v>129</v>
      </c>
      <c r="E12" t="s">
        <v>5</v>
      </c>
      <c r="F12" t="s">
        <v>22</v>
      </c>
      <c r="G12" s="1">
        <v>4.5</v>
      </c>
      <c r="H12" s="1">
        <v>0</v>
      </c>
      <c r="I12" s="1">
        <v>0</v>
      </c>
      <c r="J12" s="22">
        <v>2.0833333333333332E-2</v>
      </c>
      <c r="K12" s="22"/>
      <c r="L12" s="2"/>
      <c r="M12" s="2">
        <f>_xlfn.LET(
    _xlpm.qty, C12,
    _xlpm.weight_g, G12 + H12 + Jobs[[#This Row],[Flushed/g]],
    _xlpm.material, TRIM(E12),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12285</v>
      </c>
      <c r="N12" s="2">
        <f>_xlfn.LET(
    _xlpm.qty, C12,
    _xlpm.hours, J12*24,
    _xlpm.power_w, _xlfn.XLOOKUP(TRIM(D12), Settings!$F$4:$F$101, Settings!$G$4:$G$101, 120),
    _xlpm.rate, Settings!$D$4,
    _xlpm.qty * _xlpm.hours * (_xlpm.power_w / 1000) * _xlpm.rate
)</f>
        <v>48.72</v>
      </c>
      <c r="O12" s="2">
        <f>_xlfn.LET(
    _xlpm.qty, C12,
    _xlpm.hours, J12*24,
    _xlpm.price, _xlfn.XLOOKUP(TRIM(D12), Settings!$F$4:$F$101, Settings!$H$4:$H$101, 0),
    _xlpm.life, _xlfn.XLOOKUP(TRIM(D12), Settings!$F$4:$F$101, Settings!$I$4:$I$101, 1),
    _xlpm.qty * _xlpm.hours * (_xlpm.price / _xlpm.life)
)</f>
        <v>9400</v>
      </c>
      <c r="P12" s="2">
        <f>_xlfn.LET(
    _xlpm.qty, C12,
    _xlpm.hours, J12*24,
    _xlpm.price, _xlfn.XLOOKUP(TRIM(D12), Settings!$F$4:$F$101, Settings!$H$4:$H$101, 0),
    _xlpm.life, _xlfn.XLOOKUP(TRIM(D12), Settings!$F$4:$F$101, Settings!$I$4:$I$101, 1),
    _xlpm.pct, _xlfn.XLOOKUP(TRIM(D12), Settings!$F$4:$F$101, Settings!$J$4:$J$101, 0),
    _xlpm.qty * _xlpm.hours * (_xlpm.price / _xlpm.life * _xlpm.pct)
)</f>
        <v>470</v>
      </c>
      <c r="Q12" s="2">
        <f>Jobs[[#This Row],[Post Pro/h]]*Settings!$D$18</f>
        <v>0</v>
      </c>
      <c r="R12" s="2">
        <f>(Jobs[[#This Row],[power/t]]+Jobs[[#This Row],[Matrial/t]]+Jobs[[#This Row],[downturn/t]]+Jobs[[#This Row],[Maintenance/t]]+Jobs[[#This Row],[Coloring/t]]+Jobs[[#This Row],[Extras]])*Settings!$D$12</f>
        <v>6661.116</v>
      </c>
      <c r="S12" s="2">
        <f>Jobs[[#This Row],[Matrial/t]] + Jobs[[#This Row],[power/t]] + Jobs[[#This Row],[downturn/t]] + Jobs[[#This Row],[Maintenance/t]] + Jobs[[#This Row],[Coloring/t]] + Jobs[[#This Row],[overhead/t]] + Jobs[[#This Row],[Extras]]</f>
        <v>28864.836000000003</v>
      </c>
      <c r="T12" s="2">
        <f>S12*(1+Settings!$D$5)</f>
        <v>86594.508000000002</v>
      </c>
      <c r="U12" s="2">
        <f>Jobs[[#This Row],[Sugested Price/t]] - Jobs[[#This Row],[base price/t]]</f>
        <v>57729.671999999999</v>
      </c>
      <c r="V12" s="3">
        <f>IFERROR(Jobs[[#This Row],[Gross margin/t]] / Jobs[[#This Row],[base price/t]], 0)</f>
        <v>1.9999999999999998</v>
      </c>
      <c r="W12"/>
    </row>
    <row r="13" spans="1:23" x14ac:dyDescent="0.25">
      <c r="B13" s="18" t="s">
        <v>273</v>
      </c>
      <c r="C13" s="18">
        <v>2</v>
      </c>
      <c r="D13" t="s">
        <v>129</v>
      </c>
      <c r="E13" t="s">
        <v>5</v>
      </c>
      <c r="F13" t="s">
        <v>22</v>
      </c>
      <c r="G13" s="1">
        <v>5</v>
      </c>
      <c r="J13" s="22">
        <v>3.125E-2</v>
      </c>
      <c r="K13" s="22"/>
      <c r="L13" s="2"/>
      <c r="M13" s="2">
        <f>_xlfn.LET(
    _xlpm.qty, C13,
    _xlpm.weight_g, G13 + H13 + Jobs[[#This Row],[Flushed/g]],
    _xlpm.material, TRIM(E13),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27300</v>
      </c>
      <c r="N13" s="2">
        <f>_xlfn.LET(
    _xlpm.qty, C13,
    _xlpm.hours, J13*24,
    _xlpm.power_w, _xlfn.XLOOKUP(TRIM(D13), Settings!$F$4:$F$101, Settings!$G$4:$G$101, 120),
    _xlpm.rate, Settings!$D$4,
    _xlpm.qty * _xlpm.hours * (_xlpm.power_w / 1000) * _xlpm.rate
)</f>
        <v>146.16</v>
      </c>
      <c r="O13" s="2">
        <f>_xlfn.LET(
    _xlpm.qty, C13,
    _xlpm.hours, J13*24,
    _xlpm.price, _xlfn.XLOOKUP(TRIM(D13), Settings!$F$4:$F$101, Settings!$H$4:$H$101, 0),
    _xlpm.life, _xlfn.XLOOKUP(TRIM(D13), Settings!$F$4:$F$101, Settings!$I$4:$I$101, 1),
    _xlpm.qty * _xlpm.hours * (_xlpm.price / _xlpm.life)
)</f>
        <v>28200</v>
      </c>
      <c r="P13" s="2">
        <f>_xlfn.LET(
    _xlpm.qty, C13,
    _xlpm.hours, J13*24,
    _xlpm.price, _xlfn.XLOOKUP(TRIM(D13), Settings!$F$4:$F$101, Settings!$H$4:$H$101, 0),
    _xlpm.life, _xlfn.XLOOKUP(TRIM(D13), Settings!$F$4:$F$101, Settings!$I$4:$I$101, 1),
    _xlpm.pct, _xlfn.XLOOKUP(TRIM(D13), Settings!$F$4:$F$101, Settings!$J$4:$J$101, 0),
    _xlpm.qty * _xlpm.hours * (_xlpm.price / _xlpm.life * _xlpm.pct)
)</f>
        <v>1410</v>
      </c>
      <c r="Q13" s="2">
        <f>Jobs[[#This Row],[Post Pro/h]]*Settings!$D$18</f>
        <v>0</v>
      </c>
      <c r="R13" s="2">
        <f>(Jobs[[#This Row],[power/t]]+Jobs[[#This Row],[Matrial/t]]+Jobs[[#This Row],[downturn/t]]+Jobs[[#This Row],[Maintenance/t]]+Jobs[[#This Row],[Coloring/t]]+Jobs[[#This Row],[Extras]])*Settings!$D$12</f>
        <v>17116.848000000002</v>
      </c>
      <c r="S13" s="2">
        <f>Jobs[[#This Row],[Matrial/t]] + Jobs[[#This Row],[power/t]] + Jobs[[#This Row],[downturn/t]] + Jobs[[#This Row],[Maintenance/t]] + Jobs[[#This Row],[Coloring/t]] + Jobs[[#This Row],[overhead/t]] + Jobs[[#This Row],[Extras]]</f>
        <v>74173.008000000002</v>
      </c>
      <c r="T13" s="2">
        <f>S13*(1+Settings!$D$5)</f>
        <v>222519.024</v>
      </c>
      <c r="U13" s="2">
        <f>Jobs[[#This Row],[Sugested Price/t]] - Jobs[[#This Row],[base price/t]]</f>
        <v>148346.016</v>
      </c>
      <c r="V13" s="3">
        <f>IFERROR(Jobs[[#This Row],[Gross margin/t]] / Jobs[[#This Row],[base price/t]], 0)</f>
        <v>2</v>
      </c>
      <c r="W13"/>
    </row>
    <row r="14" spans="1:23" x14ac:dyDescent="0.25">
      <c r="B14" s="38" t="s">
        <v>274</v>
      </c>
      <c r="C14" s="18">
        <v>1</v>
      </c>
      <c r="D14" t="s">
        <v>129</v>
      </c>
      <c r="E14" t="s">
        <v>5</v>
      </c>
      <c r="F14" t="s">
        <v>22</v>
      </c>
      <c r="G14" s="1">
        <v>6</v>
      </c>
      <c r="J14" s="22">
        <v>3.125E-2</v>
      </c>
      <c r="K14" s="22"/>
      <c r="L14" s="2"/>
      <c r="M14" s="2">
        <f>_xlfn.LET(
    _xlpm.qty, C14,
    _xlpm.weight_g, G14 + H14 + Jobs[[#This Row],[Flushed/g]],
    _xlpm.material, TRIM(E14),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16380</v>
      </c>
      <c r="N14" s="2">
        <f>_xlfn.LET(
    _xlpm.qty, C14,
    _xlpm.hours, J14*24,
    _xlpm.power_w, _xlfn.XLOOKUP(TRIM(D14), Settings!$F$4:$F$101, Settings!$G$4:$G$101, 120),
    _xlpm.rate, Settings!$D$4,
    _xlpm.qty * _xlpm.hours * (_xlpm.power_w / 1000) * _xlpm.rate
)</f>
        <v>73.08</v>
      </c>
      <c r="O14" s="2">
        <f>_xlfn.LET(
    _xlpm.qty, C14,
    _xlpm.hours, J14*24,
    _xlpm.price, _xlfn.XLOOKUP(TRIM(D14), Settings!$F$4:$F$101, Settings!$H$4:$H$101, 0),
    _xlpm.life, _xlfn.XLOOKUP(TRIM(D14), Settings!$F$4:$F$101, Settings!$I$4:$I$101, 1),
    _xlpm.qty * _xlpm.hours * (_xlpm.price / _xlpm.life)
)</f>
        <v>14100</v>
      </c>
      <c r="P14" s="2">
        <f>_xlfn.LET(
    _xlpm.qty, C14,
    _xlpm.hours, J14*24,
    _xlpm.price, _xlfn.XLOOKUP(TRIM(D14), Settings!$F$4:$F$101, Settings!$H$4:$H$101, 0),
    _xlpm.life, _xlfn.XLOOKUP(TRIM(D14), Settings!$F$4:$F$101, Settings!$I$4:$I$101, 1),
    _xlpm.pct, _xlfn.XLOOKUP(TRIM(D14), Settings!$F$4:$F$101, Settings!$J$4:$J$101, 0),
    _xlpm.qty * _xlpm.hours * (_xlpm.price / _xlpm.life * _xlpm.pct)
)</f>
        <v>705</v>
      </c>
      <c r="Q14" s="2">
        <f>Jobs[[#This Row],[Post Pro/h]]*Settings!$D$18</f>
        <v>0</v>
      </c>
      <c r="R14" s="2">
        <f>(Jobs[[#This Row],[power/t]]+Jobs[[#This Row],[Matrial/t]]+Jobs[[#This Row],[downturn/t]]+Jobs[[#This Row],[Maintenance/t]]+Jobs[[#This Row],[Coloring/t]]+Jobs[[#This Row],[Extras]])*Settings!$D$12</f>
        <v>9377.4240000000009</v>
      </c>
      <c r="S14" s="2">
        <f>Jobs[[#This Row],[Matrial/t]] + Jobs[[#This Row],[power/t]] + Jobs[[#This Row],[downturn/t]] + Jobs[[#This Row],[Maintenance/t]] + Jobs[[#This Row],[Coloring/t]] + Jobs[[#This Row],[overhead/t]] + Jobs[[#This Row],[Extras]]</f>
        <v>40635.504000000001</v>
      </c>
      <c r="T14" s="2">
        <f>S14*(1+Settings!$D$5)</f>
        <v>121906.512</v>
      </c>
      <c r="U14" s="2">
        <f>Jobs[[#This Row],[Sugested Price/t]] - Jobs[[#This Row],[base price/t]]</f>
        <v>81271.008000000002</v>
      </c>
      <c r="V14" s="3">
        <f>IFERROR(Jobs[[#This Row],[Gross margin/t]] / Jobs[[#This Row],[base price/t]], 0)</f>
        <v>2</v>
      </c>
      <c r="W14"/>
    </row>
    <row r="15" spans="1:23" x14ac:dyDescent="0.25">
      <c r="B15" s="18" t="s">
        <v>275</v>
      </c>
      <c r="C15" s="18">
        <v>1</v>
      </c>
      <c r="D15" t="s">
        <v>129</v>
      </c>
      <c r="E15" t="s">
        <v>5</v>
      </c>
      <c r="F15" t="s">
        <v>22</v>
      </c>
      <c r="G15" s="1">
        <v>7</v>
      </c>
      <c r="J15" s="22">
        <v>2.4305555555555556E-2</v>
      </c>
      <c r="K15" s="22"/>
      <c r="L15" s="2"/>
      <c r="M15" s="2">
        <f>_xlfn.LET(
    _xlpm.qty, C15,
    _xlpm.weight_g, G15 + H15 + Jobs[[#This Row],[Flushed/g]],
    _xlpm.material, TRIM(E15),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19110</v>
      </c>
      <c r="N15" s="2">
        <f>_xlfn.LET(
    _xlpm.qty, C15,
    _xlpm.hours, J15*24,
    _xlpm.power_w, _xlfn.XLOOKUP(TRIM(D15), Settings!$F$4:$F$101, Settings!$G$4:$G$101, 120),
    _xlpm.rate, Settings!$D$4,
    _xlpm.qty * _xlpm.hours * (_xlpm.power_w / 1000) * _xlpm.rate
)</f>
        <v>56.84</v>
      </c>
      <c r="O15" s="2">
        <f>_xlfn.LET(
    _xlpm.qty, C15,
    _xlpm.hours, J15*24,
    _xlpm.price, _xlfn.XLOOKUP(TRIM(D15), Settings!$F$4:$F$101, Settings!$H$4:$H$101, 0),
    _xlpm.life, _xlfn.XLOOKUP(TRIM(D15), Settings!$F$4:$F$101, Settings!$I$4:$I$101, 1),
    _xlpm.qty * _xlpm.hours * (_xlpm.price / _xlpm.life)
)</f>
        <v>10966.666666666668</v>
      </c>
      <c r="P15" s="2">
        <f>_xlfn.LET(
    _xlpm.qty, C15,
    _xlpm.hours, J15*24,
    _xlpm.price, _xlfn.XLOOKUP(TRIM(D15), Settings!$F$4:$F$101, Settings!$H$4:$H$101, 0),
    _xlpm.life, _xlfn.XLOOKUP(TRIM(D15), Settings!$F$4:$F$101, Settings!$I$4:$I$101, 1),
    _xlpm.pct, _xlfn.XLOOKUP(TRIM(D15), Settings!$F$4:$F$101, Settings!$J$4:$J$101, 0),
    _xlpm.qty * _xlpm.hours * (_xlpm.price / _xlpm.life * _xlpm.pct)
)</f>
        <v>548.33333333333337</v>
      </c>
      <c r="Q15" s="2">
        <f>Jobs[[#This Row],[Post Pro/h]]*Settings!$D$18</f>
        <v>0</v>
      </c>
      <c r="R15" s="2">
        <f>(Jobs[[#This Row],[power/t]]+Jobs[[#This Row],[Matrial/t]]+Jobs[[#This Row],[downturn/t]]+Jobs[[#This Row],[Maintenance/t]]+Jobs[[#This Row],[Coloring/t]]+Jobs[[#This Row],[Extras]])*Settings!$D$12</f>
        <v>9204.5519999999997</v>
      </c>
      <c r="S15" s="2">
        <f>Jobs[[#This Row],[Matrial/t]] + Jobs[[#This Row],[power/t]] + Jobs[[#This Row],[downturn/t]] + Jobs[[#This Row],[Maintenance/t]] + Jobs[[#This Row],[Coloring/t]] + Jobs[[#This Row],[overhead/t]] + Jobs[[#This Row],[Extras]]</f>
        <v>39886.392</v>
      </c>
      <c r="T15" s="2">
        <f>S15*(1+Settings!$D$5)</f>
        <v>119659.17600000001</v>
      </c>
      <c r="U15" s="2">
        <f>Jobs[[#This Row],[Sugested Price/t]] - Jobs[[#This Row],[base price/t]]</f>
        <v>79772.784000000014</v>
      </c>
      <c r="V15" s="3">
        <f>IFERROR(Jobs[[#This Row],[Gross margin/t]] / Jobs[[#This Row],[base price/t]], 0)</f>
        <v>2.0000000000000004</v>
      </c>
      <c r="W15"/>
    </row>
    <row r="16" spans="1:23" x14ac:dyDescent="0.25">
      <c r="B16" s="18" t="s">
        <v>276</v>
      </c>
      <c r="C16" s="18">
        <v>1</v>
      </c>
      <c r="D16" t="s">
        <v>129</v>
      </c>
      <c r="E16" t="s">
        <v>5</v>
      </c>
      <c r="F16" t="s">
        <v>22</v>
      </c>
      <c r="G16" s="1">
        <v>16</v>
      </c>
      <c r="H16" s="1">
        <v>8</v>
      </c>
      <c r="J16" s="22">
        <v>9.375E-2</v>
      </c>
      <c r="K16" s="22"/>
      <c r="L16" s="2"/>
      <c r="M16" s="2">
        <f>_xlfn.LET(
    _xlpm.qty, C16,
    _xlpm.weight_g, G16 + H16 + Jobs[[#This Row],[Flushed/g]],
    _xlpm.material, TRIM(E16),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65520</v>
      </c>
      <c r="N16" s="2">
        <f>_xlfn.LET(
    _xlpm.qty, C16,
    _xlpm.hours, J16*24,
    _xlpm.power_w, _xlfn.XLOOKUP(TRIM(D16), Settings!$F$4:$F$101, Settings!$G$4:$G$101, 120),
    _xlpm.rate, Settings!$D$4,
    _xlpm.qty * _xlpm.hours * (_xlpm.power_w / 1000) * _xlpm.rate
)</f>
        <v>219.24</v>
      </c>
      <c r="O16" s="2">
        <f>_xlfn.LET(
    _xlpm.qty, C16,
    _xlpm.hours, J16*24,
    _xlpm.price, _xlfn.XLOOKUP(TRIM(D16), Settings!$F$4:$F$101, Settings!$H$4:$H$101, 0),
    _xlpm.life, _xlfn.XLOOKUP(TRIM(D16), Settings!$F$4:$F$101, Settings!$I$4:$I$101, 1),
    _xlpm.qty * _xlpm.hours * (_xlpm.price / _xlpm.life)
)</f>
        <v>42300</v>
      </c>
      <c r="P16" s="2">
        <f>_xlfn.LET(
    _xlpm.qty, C16,
    _xlpm.hours, J16*24,
    _xlpm.price, _xlfn.XLOOKUP(TRIM(D16), Settings!$F$4:$F$101, Settings!$H$4:$H$101, 0),
    _xlpm.life, _xlfn.XLOOKUP(TRIM(D16), Settings!$F$4:$F$101, Settings!$I$4:$I$101, 1),
    _xlpm.pct, _xlfn.XLOOKUP(TRIM(D16), Settings!$F$4:$F$101, Settings!$J$4:$J$101, 0),
    _xlpm.qty * _xlpm.hours * (_xlpm.price / _xlpm.life * _xlpm.pct)
)</f>
        <v>2115</v>
      </c>
      <c r="Q16" s="2">
        <f>Jobs[[#This Row],[Post Pro/h]]*Settings!$D$18</f>
        <v>0</v>
      </c>
      <c r="R16" s="2">
        <f>(Jobs[[#This Row],[power/t]]+Jobs[[#This Row],[Matrial/t]]+Jobs[[#This Row],[downturn/t]]+Jobs[[#This Row],[Maintenance/t]]+Jobs[[#This Row],[Coloring/t]]+Jobs[[#This Row],[Extras]])*Settings!$D$12</f>
        <v>33046.271999999997</v>
      </c>
      <c r="S16" s="2">
        <f>Jobs[[#This Row],[Matrial/t]] + Jobs[[#This Row],[power/t]] + Jobs[[#This Row],[downturn/t]] + Jobs[[#This Row],[Maintenance/t]] + Jobs[[#This Row],[Coloring/t]] + Jobs[[#This Row],[overhead/t]] + Jobs[[#This Row],[Extras]]</f>
        <v>143200.51199999999</v>
      </c>
      <c r="T16" s="2">
        <f>S16*(1+Settings!$D$5)</f>
        <v>429601.53599999996</v>
      </c>
      <c r="U16" s="2">
        <f>Jobs[[#This Row],[Sugested Price/t]] - Jobs[[#This Row],[base price/t]]</f>
        <v>286401.02399999998</v>
      </c>
      <c r="V16" s="3">
        <f>IFERROR(Jobs[[#This Row],[Gross margin/t]] / Jobs[[#This Row],[base price/t]], 0)</f>
        <v>2</v>
      </c>
      <c r="W16"/>
    </row>
    <row r="17" spans="2:23" x14ac:dyDescent="0.25">
      <c r="B17" s="18" t="s">
        <v>277</v>
      </c>
      <c r="C17" s="18">
        <v>1</v>
      </c>
      <c r="D17" t="s">
        <v>129</v>
      </c>
      <c r="E17" t="s">
        <v>5</v>
      </c>
      <c r="F17" t="s">
        <v>22</v>
      </c>
      <c r="G17" s="1">
        <v>151</v>
      </c>
      <c r="J17" s="22">
        <v>0.30208333333333331</v>
      </c>
      <c r="K17" s="22"/>
      <c r="L17" s="2"/>
      <c r="M17" s="2">
        <f>_xlfn.LET(
    _xlpm.qty, C17,
    _xlpm.weight_g, G17 + H17 + Jobs[[#This Row],[Flushed/g]],
    _xlpm.material, TRIM(E17),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412230</v>
      </c>
      <c r="N17" s="2">
        <f>_xlfn.LET(
    _xlpm.qty, C17,
    _xlpm.hours, J17*24,
    _xlpm.power_w, _xlfn.XLOOKUP(TRIM(D17), Settings!$F$4:$F$101, Settings!$G$4:$G$101, 120),
    _xlpm.rate, Settings!$D$4,
    _xlpm.qty * _xlpm.hours * (_xlpm.power_w / 1000) * _xlpm.rate
)</f>
        <v>706.43999999999994</v>
      </c>
      <c r="O17" s="2">
        <f>_xlfn.LET(
    _xlpm.qty, C17,
    _xlpm.hours, J17*24,
    _xlpm.price, _xlfn.XLOOKUP(TRIM(D17), Settings!$F$4:$F$101, Settings!$H$4:$H$101, 0),
    _xlpm.life, _xlfn.XLOOKUP(TRIM(D17), Settings!$F$4:$F$101, Settings!$I$4:$I$101, 1),
    _xlpm.qty * _xlpm.hours * (_xlpm.price / _xlpm.life)
)</f>
        <v>136300</v>
      </c>
      <c r="P17" s="2">
        <f>_xlfn.LET(
    _xlpm.qty, C17,
    _xlpm.hours, J17*24,
    _xlpm.price, _xlfn.XLOOKUP(TRIM(D17), Settings!$F$4:$F$101, Settings!$H$4:$H$101, 0),
    _xlpm.life, _xlfn.XLOOKUP(TRIM(D17), Settings!$F$4:$F$101, Settings!$I$4:$I$101, 1),
    _xlpm.pct, _xlfn.XLOOKUP(TRIM(D17), Settings!$F$4:$F$101, Settings!$J$4:$J$101, 0),
    _xlpm.qty * _xlpm.hours * (_xlpm.price / _xlpm.life * _xlpm.pct)
)</f>
        <v>6815</v>
      </c>
      <c r="Q17" s="2">
        <f>Jobs[[#This Row],[Post Pro/h]]*Settings!$D$18</f>
        <v>0</v>
      </c>
      <c r="R17" s="2">
        <f>(Jobs[[#This Row],[power/t]]+Jobs[[#This Row],[Matrial/t]]+Jobs[[#This Row],[downturn/t]]+Jobs[[#This Row],[Maintenance/t]]+Jobs[[#This Row],[Coloring/t]]+Jobs[[#This Row],[Extras]])*Settings!$D$12</f>
        <v>166815.43199999997</v>
      </c>
      <c r="S17" s="2">
        <f>Jobs[[#This Row],[Matrial/t]] + Jobs[[#This Row],[power/t]] + Jobs[[#This Row],[downturn/t]] + Jobs[[#This Row],[Maintenance/t]] + Jobs[[#This Row],[Coloring/t]] + Jobs[[#This Row],[overhead/t]] + Jobs[[#This Row],[Extras]]</f>
        <v>722866.87199999997</v>
      </c>
      <c r="T17" s="2">
        <f>S17*(1+Settings!$D$5)</f>
        <v>2168600.6159999999</v>
      </c>
      <c r="U17" s="2">
        <f>Jobs[[#This Row],[Sugested Price/t]] - Jobs[[#This Row],[base price/t]]</f>
        <v>1445733.7439999999</v>
      </c>
      <c r="V17" s="3">
        <f>IFERROR(Jobs[[#This Row],[Gross margin/t]] / Jobs[[#This Row],[base price/t]], 0)</f>
        <v>2</v>
      </c>
      <c r="W17"/>
    </row>
    <row r="18" spans="2:23" x14ac:dyDescent="0.25">
      <c r="B18" s="18" t="s">
        <v>278</v>
      </c>
      <c r="C18" s="18">
        <v>1</v>
      </c>
      <c r="D18" t="s">
        <v>129</v>
      </c>
      <c r="E18" t="s">
        <v>5</v>
      </c>
      <c r="F18" t="s">
        <v>32</v>
      </c>
      <c r="G18" s="1">
        <v>2</v>
      </c>
      <c r="J18" s="22">
        <v>2.0833333333333332E-2</v>
      </c>
      <c r="K18" s="22">
        <v>0</v>
      </c>
      <c r="L18" s="2">
        <v>150000</v>
      </c>
      <c r="M18" s="2">
        <f>_xlfn.LET(
    _xlpm.qty, C18,
    _xlpm.weight_g, G18 + H18 + Jobs[[#This Row],[Flushed/g]],
    _xlpm.material, TRIM(E18),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5460</v>
      </c>
      <c r="N18" s="2">
        <f>_xlfn.LET(
    _xlpm.qty, C18,
    _xlpm.hours, J18*24,
    _xlpm.power_w, _xlfn.XLOOKUP(TRIM(D18), Settings!$F$4:$F$101, Settings!$G$4:$G$101, 120),
    _xlpm.rate, Settings!$D$4,
    _xlpm.qty * _xlpm.hours * (_xlpm.power_w / 1000) * _xlpm.rate
)</f>
        <v>48.72</v>
      </c>
      <c r="O18" s="2">
        <f>_xlfn.LET(
    _xlpm.qty, C18,
    _xlpm.hours, J18*24,
    _xlpm.price, _xlfn.XLOOKUP(TRIM(D18), Settings!$F$4:$F$101, Settings!$H$4:$H$101, 0),
    _xlpm.life, _xlfn.XLOOKUP(TRIM(D18), Settings!$F$4:$F$101, Settings!$I$4:$I$101, 1),
    _xlpm.qty * _xlpm.hours * (_xlpm.price / _xlpm.life)
)</f>
        <v>9400</v>
      </c>
      <c r="P18" s="2">
        <f>_xlfn.LET(
    _xlpm.qty, C18,
    _xlpm.hours, J18*24,
    _xlpm.price, _xlfn.XLOOKUP(TRIM(D18), Settings!$F$4:$F$101, Settings!$H$4:$H$101, 0),
    _xlpm.life, _xlfn.XLOOKUP(TRIM(D18), Settings!$F$4:$F$101, Settings!$I$4:$I$101, 1),
    _xlpm.pct, _xlfn.XLOOKUP(TRIM(D18), Settings!$F$4:$F$101, Settings!$J$4:$J$101, 0),
    _xlpm.qty * _xlpm.hours * (_xlpm.price / _xlpm.life * _xlpm.pct)
)</f>
        <v>470</v>
      </c>
      <c r="Q18" s="2">
        <f>Jobs[[#This Row],[Post Pro/h]]*Settings!$D$18</f>
        <v>0</v>
      </c>
      <c r="R18" s="2">
        <f>(Jobs[[#This Row],[power/t]]+Jobs[[#This Row],[Matrial/t]]+Jobs[[#This Row],[downturn/t]]+Jobs[[#This Row],[Maintenance/t]]+Jobs[[#This Row],[Coloring/t]]+Jobs[[#This Row],[Extras]])*Settings!$D$12</f>
        <v>49613.616000000002</v>
      </c>
      <c r="S18" s="2">
        <f>Jobs[[#This Row],[Matrial/t]] + Jobs[[#This Row],[power/t]] + Jobs[[#This Row],[downturn/t]] + Jobs[[#This Row],[Maintenance/t]] + Jobs[[#This Row],[Coloring/t]] + Jobs[[#This Row],[overhead/t]] + Jobs[[#This Row],[Extras]]</f>
        <v>214992.33600000001</v>
      </c>
      <c r="T18" s="2">
        <f>S18*(1+Settings!$D$5)</f>
        <v>644977.00800000003</v>
      </c>
      <c r="U18" s="2">
        <f>Jobs[[#This Row],[Sugested Price/t]] - Jobs[[#This Row],[base price/t]]</f>
        <v>429984.67200000002</v>
      </c>
      <c r="V18" s="3">
        <f>IFERROR(Jobs[[#This Row],[Gross margin/t]] / Jobs[[#This Row],[base price/t]], 0)</f>
        <v>2</v>
      </c>
      <c r="W18"/>
    </row>
    <row r="19" spans="2:23" x14ac:dyDescent="0.25">
      <c r="B19" s="18" t="s">
        <v>279</v>
      </c>
      <c r="C19" s="18">
        <v>1</v>
      </c>
      <c r="D19" t="s">
        <v>129</v>
      </c>
      <c r="E19" t="s">
        <v>5</v>
      </c>
      <c r="F19" t="s">
        <v>22</v>
      </c>
      <c r="J19" s="22"/>
      <c r="K19" s="22"/>
      <c r="L19" s="2"/>
      <c r="M19" s="2">
        <f>_xlfn.LET(
    _xlpm.qty, C19,
    _xlpm.weight_g, G19 + H19 + Jobs[[#This Row],[Flushed/g]],
    _xlpm.material, TRIM(E19),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9" s="2">
        <f>_xlfn.LET(
    _xlpm.qty, C19,
    _xlpm.hours, J19*24,
    _xlpm.power_w, _xlfn.XLOOKUP(TRIM(D19), Settings!$F$4:$F$101, Settings!$G$4:$G$101, 120),
    _xlpm.rate, Settings!$D$4,
    _xlpm.qty * _xlpm.hours * (_xlpm.power_w / 1000) * _xlpm.rate
)</f>
        <v>0</v>
      </c>
      <c r="O19" s="2">
        <f>_xlfn.LET(
    _xlpm.qty, C19,
    _xlpm.hours, J19*24,
    _xlpm.price, _xlfn.XLOOKUP(TRIM(D19), Settings!$F$4:$F$101, Settings!$H$4:$H$101, 0),
    _xlpm.life, _xlfn.XLOOKUP(TRIM(D19), Settings!$F$4:$F$101, Settings!$I$4:$I$101, 1),
    _xlpm.qty * _xlpm.hours * (_xlpm.price / _xlpm.life)
)</f>
        <v>0</v>
      </c>
      <c r="P19" s="2">
        <f>_xlfn.LET(
    _xlpm.qty, C19,
    _xlpm.hours, J19*24,
    _xlpm.price, _xlfn.XLOOKUP(TRIM(D19), Settings!$F$4:$F$101, Settings!$H$4:$H$101, 0),
    _xlpm.life, _xlfn.XLOOKUP(TRIM(D19), Settings!$F$4:$F$101, Settings!$I$4:$I$101, 1),
    _xlpm.pct, _xlfn.XLOOKUP(TRIM(D19), Settings!$F$4:$F$101, Settings!$J$4:$J$101, 0),
    _xlpm.qty * _xlpm.hours * (_xlpm.price / _xlpm.life * _xlpm.pct)
)</f>
        <v>0</v>
      </c>
      <c r="Q19" s="2">
        <f>Jobs[[#This Row],[Post Pro/h]]*Settings!$D$18</f>
        <v>0</v>
      </c>
      <c r="R19" s="2">
        <f>(Jobs[[#This Row],[power/t]]+Jobs[[#This Row],[Matrial/t]]+Jobs[[#This Row],[downturn/t]]+Jobs[[#This Row],[Maintenance/t]]+Jobs[[#This Row],[Coloring/t]]+Jobs[[#This Row],[Extras]])*Settings!$D$12</f>
        <v>0</v>
      </c>
      <c r="S19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9" s="2">
        <f>S19*(1+Settings!$D$5)</f>
        <v>0</v>
      </c>
      <c r="U19" s="2">
        <f>Jobs[[#This Row],[Sugested Price/t]] - Jobs[[#This Row],[base price/t]]</f>
        <v>0</v>
      </c>
      <c r="V19" s="3">
        <f>IFERROR(Jobs[[#This Row],[Gross margin/t]] / Jobs[[#This Row],[base price/t]], 0)</f>
        <v>0</v>
      </c>
      <c r="W19"/>
    </row>
    <row r="20" spans="2:23" x14ac:dyDescent="0.25">
      <c r="B20" s="18" t="s">
        <v>280</v>
      </c>
      <c r="C20" s="18">
        <v>1</v>
      </c>
      <c r="D20" t="s">
        <v>129</v>
      </c>
      <c r="E20" t="s">
        <v>5</v>
      </c>
      <c r="F20" t="s">
        <v>30</v>
      </c>
      <c r="G20" s="1">
        <v>5.12</v>
      </c>
      <c r="J20" s="22">
        <v>3.125E-2</v>
      </c>
      <c r="K20" s="22"/>
      <c r="L20" s="2"/>
      <c r="M20" s="2">
        <f>_xlfn.LET(
    _xlpm.qty, C20,
    _xlpm.weight_g, G20 + H20 + Jobs[[#This Row],[Flushed/g]],
    _xlpm.material, TRIM(E20),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13977.600000000002</v>
      </c>
      <c r="N20" s="2">
        <f>_xlfn.LET(
    _xlpm.qty, C20,
    _xlpm.hours, J20*24,
    _xlpm.power_w, _xlfn.XLOOKUP(TRIM(D20), Settings!$F$4:$F$101, Settings!$G$4:$G$101, 120),
    _xlpm.rate, Settings!$D$4,
    _xlpm.qty * _xlpm.hours * (_xlpm.power_w / 1000) * _xlpm.rate
)</f>
        <v>73.08</v>
      </c>
      <c r="O20" s="2">
        <f>_xlfn.LET(
    _xlpm.qty, C20,
    _xlpm.hours, J20*24,
    _xlpm.price, _xlfn.XLOOKUP(TRIM(D20), Settings!$F$4:$F$101, Settings!$H$4:$H$101, 0),
    _xlpm.life, _xlfn.XLOOKUP(TRIM(D20), Settings!$F$4:$F$101, Settings!$I$4:$I$101, 1),
    _xlpm.qty * _xlpm.hours * (_xlpm.price / _xlpm.life)
)</f>
        <v>14100</v>
      </c>
      <c r="P20" s="2">
        <f>_xlfn.LET(
    _xlpm.qty, C20,
    _xlpm.hours, J20*24,
    _xlpm.price, _xlfn.XLOOKUP(TRIM(D20), Settings!$F$4:$F$101, Settings!$H$4:$H$101, 0),
    _xlpm.life, _xlfn.XLOOKUP(TRIM(D20), Settings!$F$4:$F$101, Settings!$I$4:$I$101, 1),
    _xlpm.pct, _xlfn.XLOOKUP(TRIM(D20), Settings!$F$4:$F$101, Settings!$J$4:$J$101, 0),
    _xlpm.qty * _xlpm.hours * (_xlpm.price / _xlpm.life * _xlpm.pct)
)</f>
        <v>705</v>
      </c>
      <c r="Q20" s="2">
        <f>Jobs[[#This Row],[Post Pro/h]]*Settings!$D$18</f>
        <v>0</v>
      </c>
      <c r="R20" s="2">
        <f>(Jobs[[#This Row],[power/t]]+Jobs[[#This Row],[Matrial/t]]+Jobs[[#This Row],[downturn/t]]+Jobs[[#This Row],[Maintenance/t]]+Jobs[[#This Row],[Coloring/t]]+Jobs[[#This Row],[Extras]])*Settings!$D$12</f>
        <v>8656.7039999999997</v>
      </c>
      <c r="S20" s="2">
        <f>Jobs[[#This Row],[Matrial/t]] + Jobs[[#This Row],[power/t]] + Jobs[[#This Row],[downturn/t]] + Jobs[[#This Row],[Maintenance/t]] + Jobs[[#This Row],[Coloring/t]] + Jobs[[#This Row],[overhead/t]] + Jobs[[#This Row],[Extras]]</f>
        <v>37512.383999999998</v>
      </c>
      <c r="T20" s="2">
        <f>S20*(1+Settings!$D$5)</f>
        <v>112537.152</v>
      </c>
      <c r="U20" s="2">
        <f>Jobs[[#This Row],[Sugested Price/t]] - Jobs[[#This Row],[base price/t]]</f>
        <v>75024.768000000011</v>
      </c>
      <c r="V20" s="3">
        <f>IFERROR(Jobs[[#This Row],[Gross margin/t]] / Jobs[[#This Row],[base price/t]], 0)</f>
        <v>2.0000000000000004</v>
      </c>
      <c r="W20"/>
    </row>
    <row r="21" spans="2:23" x14ac:dyDescent="0.25">
      <c r="B21" s="18" t="s">
        <v>281</v>
      </c>
      <c r="C21" s="18">
        <v>1</v>
      </c>
      <c r="D21" t="s">
        <v>129</v>
      </c>
      <c r="E21" t="s">
        <v>5</v>
      </c>
      <c r="F21" t="s">
        <v>22</v>
      </c>
      <c r="G21" s="1">
        <v>3</v>
      </c>
      <c r="J21" s="22">
        <v>1.3888888888888888E-2</v>
      </c>
      <c r="K21" s="22"/>
      <c r="L21" s="2"/>
      <c r="M21" s="2">
        <f>_xlfn.LET(
    _xlpm.qty, C21,
    _xlpm.weight_g, G21 + H21 + Jobs[[#This Row],[Flushed/g]],
    _xlpm.material, TRIM(E21),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8190</v>
      </c>
      <c r="N21" s="2">
        <f>_xlfn.LET(
    _xlpm.qty, C21,
    _xlpm.hours, J21*24,
    _xlpm.power_w, _xlfn.XLOOKUP(TRIM(D21), Settings!$F$4:$F$101, Settings!$G$4:$G$101, 120),
    _xlpm.rate, Settings!$D$4,
    _xlpm.qty * _xlpm.hours * (_xlpm.power_w / 1000) * _xlpm.rate
)</f>
        <v>32.479999999999997</v>
      </c>
      <c r="O21" s="2">
        <f>_xlfn.LET(
    _xlpm.qty, C21,
    _xlpm.hours, J21*24,
    _xlpm.price, _xlfn.XLOOKUP(TRIM(D21), Settings!$F$4:$F$101, Settings!$H$4:$H$101, 0),
    _xlpm.life, _xlfn.XLOOKUP(TRIM(D21), Settings!$F$4:$F$101, Settings!$I$4:$I$101, 1),
    _xlpm.qty * _xlpm.hours * (_xlpm.price / _xlpm.life)
)</f>
        <v>6266.6666666666661</v>
      </c>
      <c r="P21" s="2">
        <f>_xlfn.LET(
    _xlpm.qty, C21,
    _xlpm.hours, J21*24,
    _xlpm.price, _xlfn.XLOOKUP(TRIM(D21), Settings!$F$4:$F$101, Settings!$H$4:$H$101, 0),
    _xlpm.life, _xlfn.XLOOKUP(TRIM(D21), Settings!$F$4:$F$101, Settings!$I$4:$I$101, 1),
    _xlpm.pct, _xlfn.XLOOKUP(TRIM(D21), Settings!$F$4:$F$101, Settings!$J$4:$J$101, 0),
    _xlpm.qty * _xlpm.hours * (_xlpm.price / _xlpm.life * _xlpm.pct)
)</f>
        <v>313.33333333333331</v>
      </c>
      <c r="Q21" s="2">
        <f>Jobs[[#This Row],[Post Pro/h]]*Settings!$D$18</f>
        <v>0</v>
      </c>
      <c r="R21" s="2">
        <f>(Jobs[[#This Row],[power/t]]+Jobs[[#This Row],[Matrial/t]]+Jobs[[#This Row],[downturn/t]]+Jobs[[#This Row],[Maintenance/t]]+Jobs[[#This Row],[Coloring/t]]+Jobs[[#This Row],[Extras]])*Settings!$D$12</f>
        <v>4440.7439999999997</v>
      </c>
      <c r="S21" s="2">
        <f>Jobs[[#This Row],[Matrial/t]] + Jobs[[#This Row],[power/t]] + Jobs[[#This Row],[downturn/t]] + Jobs[[#This Row],[Maintenance/t]] + Jobs[[#This Row],[Coloring/t]] + Jobs[[#This Row],[overhead/t]] + Jobs[[#This Row],[Extras]]</f>
        <v>19243.223999999998</v>
      </c>
      <c r="T21" s="2">
        <f>S21*(1+Settings!$D$5)</f>
        <v>57729.671999999991</v>
      </c>
      <c r="U21" s="2">
        <f>Jobs[[#This Row],[Sugested Price/t]] - Jobs[[#This Row],[base price/t]]</f>
        <v>38486.447999999989</v>
      </c>
      <c r="V21" s="3">
        <f>IFERROR(Jobs[[#This Row],[Gross margin/t]] / Jobs[[#This Row],[base price/t]], 0)</f>
        <v>1.9999999999999996</v>
      </c>
      <c r="W21"/>
    </row>
    <row r="22" spans="2:23" x14ac:dyDescent="0.25">
      <c r="B22" s="18" t="s">
        <v>272</v>
      </c>
      <c r="C22" s="18">
        <v>1</v>
      </c>
      <c r="D22" t="s">
        <v>129</v>
      </c>
      <c r="E22" t="s">
        <v>5</v>
      </c>
      <c r="F22" t="s">
        <v>22</v>
      </c>
      <c r="G22" s="1">
        <v>8</v>
      </c>
      <c r="J22" s="22">
        <v>2.4305555555555556E-2</v>
      </c>
      <c r="K22" s="22"/>
      <c r="L22" s="2"/>
      <c r="M22" s="2">
        <f>_xlfn.LET(
    _xlpm.qty, C22,
    _xlpm.weight_g, G22 + H22 + Jobs[[#This Row],[Flushed/g]],
    _xlpm.material, TRIM(E22),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21840</v>
      </c>
      <c r="N22" s="2">
        <f>_xlfn.LET(
    _xlpm.qty, C22,
    _xlpm.hours, J22*24,
    _xlpm.power_w, _xlfn.XLOOKUP(TRIM(D22), Settings!$F$4:$F$101, Settings!$G$4:$G$101, 120),
    _xlpm.rate, Settings!$D$4,
    _xlpm.qty * _xlpm.hours * (_xlpm.power_w / 1000) * _xlpm.rate
)</f>
        <v>56.84</v>
      </c>
      <c r="O22" s="2">
        <f>_xlfn.LET(
    _xlpm.qty, C22,
    _xlpm.hours, J22*24,
    _xlpm.price, _xlfn.XLOOKUP(TRIM(D22), Settings!$F$4:$F$101, Settings!$H$4:$H$101, 0),
    _xlpm.life, _xlfn.XLOOKUP(TRIM(D22), Settings!$F$4:$F$101, Settings!$I$4:$I$101, 1),
    _xlpm.qty * _xlpm.hours * (_xlpm.price / _xlpm.life)
)</f>
        <v>10966.666666666668</v>
      </c>
      <c r="P22" s="2">
        <f>_xlfn.LET(
    _xlpm.qty, C22,
    _xlpm.hours, J22*24,
    _xlpm.price, _xlfn.XLOOKUP(TRIM(D22), Settings!$F$4:$F$101, Settings!$H$4:$H$101, 0),
    _xlpm.life, _xlfn.XLOOKUP(TRIM(D22), Settings!$F$4:$F$101, Settings!$I$4:$I$101, 1),
    _xlpm.pct, _xlfn.XLOOKUP(TRIM(D22), Settings!$F$4:$F$101, Settings!$J$4:$J$101, 0),
    _xlpm.qty * _xlpm.hours * (_xlpm.price / _xlpm.life * _xlpm.pct)
)</f>
        <v>548.33333333333337</v>
      </c>
      <c r="Q22" s="2">
        <f>Jobs[[#This Row],[Post Pro/h]]*Settings!$D$18</f>
        <v>0</v>
      </c>
      <c r="R22" s="2">
        <f>(Jobs[[#This Row],[power/t]]+Jobs[[#This Row],[Matrial/t]]+Jobs[[#This Row],[downturn/t]]+Jobs[[#This Row],[Maintenance/t]]+Jobs[[#This Row],[Coloring/t]]+Jobs[[#This Row],[Extras]])*Settings!$D$12</f>
        <v>10023.552000000001</v>
      </c>
      <c r="S22" s="2">
        <f>Jobs[[#This Row],[Matrial/t]] + Jobs[[#This Row],[power/t]] + Jobs[[#This Row],[downturn/t]] + Jobs[[#This Row],[Maintenance/t]] + Jobs[[#This Row],[Coloring/t]] + Jobs[[#This Row],[overhead/t]] + Jobs[[#This Row],[Extras]]</f>
        <v>43435.392000000007</v>
      </c>
      <c r="T22" s="2">
        <f>S22*(1+Settings!$D$5)</f>
        <v>130306.17600000002</v>
      </c>
      <c r="U22" s="2">
        <f>Jobs[[#This Row],[Sugested Price/t]] - Jobs[[#This Row],[base price/t]]</f>
        <v>86870.784000000014</v>
      </c>
      <c r="V22" s="3">
        <f>IFERROR(Jobs[[#This Row],[Gross margin/t]] / Jobs[[#This Row],[base price/t]], 0)</f>
        <v>2</v>
      </c>
      <c r="W22"/>
    </row>
    <row r="23" spans="2:23" x14ac:dyDescent="0.25">
      <c r="B23" s="18" t="s">
        <v>282</v>
      </c>
      <c r="C23" s="18">
        <v>1</v>
      </c>
      <c r="D23" t="s">
        <v>129</v>
      </c>
      <c r="E23" t="s">
        <v>5</v>
      </c>
      <c r="F23" t="s">
        <v>22</v>
      </c>
      <c r="G23" s="1">
        <v>6</v>
      </c>
      <c r="J23" s="22">
        <v>4.1666666666666664E-2</v>
      </c>
      <c r="K23" s="22"/>
      <c r="L23" s="2"/>
      <c r="M23" s="2">
        <f>_xlfn.LET(
    _xlpm.qty, C23,
    _xlpm.weight_g, G23 + H23 + Jobs[[#This Row],[Flushed/g]],
    _xlpm.material, TRIM(E23),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16380</v>
      </c>
      <c r="N23" s="2">
        <f>_xlfn.LET(
    _xlpm.qty, C23,
    _xlpm.hours, J23*24,
    _xlpm.power_w, _xlfn.XLOOKUP(TRIM(D23), Settings!$F$4:$F$101, Settings!$G$4:$G$101, 120),
    _xlpm.rate, Settings!$D$4,
    _xlpm.qty * _xlpm.hours * (_xlpm.power_w / 1000) * _xlpm.rate
)</f>
        <v>97.44</v>
      </c>
      <c r="O23" s="2">
        <f>_xlfn.LET(
    _xlpm.qty, C23,
    _xlpm.hours, J23*24,
    _xlpm.price, _xlfn.XLOOKUP(TRIM(D23), Settings!$F$4:$F$101, Settings!$H$4:$H$101, 0),
    _xlpm.life, _xlfn.XLOOKUP(TRIM(D23), Settings!$F$4:$F$101, Settings!$I$4:$I$101, 1),
    _xlpm.qty * _xlpm.hours * (_xlpm.price / _xlpm.life)
)</f>
        <v>18800</v>
      </c>
      <c r="P23" s="2">
        <f>_xlfn.LET(
    _xlpm.qty, C23,
    _xlpm.hours, J23*24,
    _xlpm.price, _xlfn.XLOOKUP(TRIM(D23), Settings!$F$4:$F$101, Settings!$H$4:$H$101, 0),
    _xlpm.life, _xlfn.XLOOKUP(TRIM(D23), Settings!$F$4:$F$101, Settings!$I$4:$I$101, 1),
    _xlpm.pct, _xlfn.XLOOKUP(TRIM(D23), Settings!$F$4:$F$101, Settings!$J$4:$J$101, 0),
    _xlpm.qty * _xlpm.hours * (_xlpm.price / _xlpm.life * _xlpm.pct)
)</f>
        <v>940</v>
      </c>
      <c r="Q23" s="2">
        <f>Jobs[[#This Row],[Post Pro/h]]*Settings!$D$18</f>
        <v>0</v>
      </c>
      <c r="R23" s="2">
        <f>(Jobs[[#This Row],[power/t]]+Jobs[[#This Row],[Matrial/t]]+Jobs[[#This Row],[downturn/t]]+Jobs[[#This Row],[Maintenance/t]]+Jobs[[#This Row],[Coloring/t]]+Jobs[[#This Row],[Extras]])*Settings!$D$12</f>
        <v>10865.232</v>
      </c>
      <c r="S23" s="2">
        <f>Jobs[[#This Row],[Matrial/t]] + Jobs[[#This Row],[power/t]] + Jobs[[#This Row],[downturn/t]] + Jobs[[#This Row],[Maintenance/t]] + Jobs[[#This Row],[Coloring/t]] + Jobs[[#This Row],[overhead/t]] + Jobs[[#This Row],[Extras]]</f>
        <v>47082.672000000006</v>
      </c>
      <c r="T23" s="2">
        <f>S23*(1+Settings!$D$5)</f>
        <v>141248.016</v>
      </c>
      <c r="U23" s="2">
        <f>Jobs[[#This Row],[Sugested Price/t]] - Jobs[[#This Row],[base price/t]]</f>
        <v>94165.343999999997</v>
      </c>
      <c r="V23" s="3">
        <f>IFERROR(Jobs[[#This Row],[Gross margin/t]] / Jobs[[#This Row],[base price/t]], 0)</f>
        <v>1.9999999999999998</v>
      </c>
      <c r="W23"/>
    </row>
    <row r="24" spans="2:23" x14ac:dyDescent="0.25">
      <c r="B24" s="18" t="s">
        <v>265</v>
      </c>
      <c r="C24" s="18">
        <v>1</v>
      </c>
      <c r="D24" t="s">
        <v>129</v>
      </c>
      <c r="E24" t="s">
        <v>5</v>
      </c>
      <c r="F24" t="s">
        <v>22</v>
      </c>
      <c r="G24" s="1">
        <v>2</v>
      </c>
      <c r="J24" s="22">
        <v>1.3888888888888888E-2</v>
      </c>
      <c r="K24" s="22"/>
      <c r="L24" s="2"/>
      <c r="M24" s="2">
        <f>_xlfn.LET(
    _xlpm.qty, C24,
    _xlpm.weight_g, G24 + H24 + Jobs[[#This Row],[Flushed/g]],
    _xlpm.material, TRIM(E24),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5460</v>
      </c>
      <c r="N24" s="2">
        <f>_xlfn.LET(
    _xlpm.qty, C24,
    _xlpm.hours, J24*24,
    _xlpm.power_w, _xlfn.XLOOKUP(TRIM(D24), Settings!$F$4:$F$101, Settings!$G$4:$G$101, 120),
    _xlpm.rate, Settings!$D$4,
    _xlpm.qty * _xlpm.hours * (_xlpm.power_w / 1000) * _xlpm.rate
)</f>
        <v>32.479999999999997</v>
      </c>
      <c r="O24" s="2">
        <f>_xlfn.LET(
    _xlpm.qty, C24,
    _xlpm.hours, J24*24,
    _xlpm.price, _xlfn.XLOOKUP(TRIM(D24), Settings!$F$4:$F$101, Settings!$H$4:$H$101, 0),
    _xlpm.life, _xlfn.XLOOKUP(TRIM(D24), Settings!$F$4:$F$101, Settings!$I$4:$I$101, 1),
    _xlpm.qty * _xlpm.hours * (_xlpm.price / _xlpm.life)
)</f>
        <v>6266.6666666666661</v>
      </c>
      <c r="P24" s="2">
        <f>_xlfn.LET(
    _xlpm.qty, C24,
    _xlpm.hours, J24*24,
    _xlpm.price, _xlfn.XLOOKUP(TRIM(D24), Settings!$F$4:$F$101, Settings!$H$4:$H$101, 0),
    _xlpm.life, _xlfn.XLOOKUP(TRIM(D24), Settings!$F$4:$F$101, Settings!$I$4:$I$101, 1),
    _xlpm.pct, _xlfn.XLOOKUP(TRIM(D24), Settings!$F$4:$F$101, Settings!$J$4:$J$101, 0),
    _xlpm.qty * _xlpm.hours * (_xlpm.price / _xlpm.life * _xlpm.pct)
)</f>
        <v>313.33333333333331</v>
      </c>
      <c r="Q24" s="2">
        <f>Jobs[[#This Row],[Post Pro/h]]*Settings!$D$18</f>
        <v>0</v>
      </c>
      <c r="R24" s="2">
        <f>(Jobs[[#This Row],[power/t]]+Jobs[[#This Row],[Matrial/t]]+Jobs[[#This Row],[downturn/t]]+Jobs[[#This Row],[Maintenance/t]]+Jobs[[#This Row],[Coloring/t]]+Jobs[[#This Row],[Extras]])*Settings!$D$12</f>
        <v>3621.7439999999997</v>
      </c>
      <c r="S24" s="2">
        <f>Jobs[[#This Row],[Matrial/t]] + Jobs[[#This Row],[power/t]] + Jobs[[#This Row],[downturn/t]] + Jobs[[#This Row],[Maintenance/t]] + Jobs[[#This Row],[Coloring/t]] + Jobs[[#This Row],[overhead/t]] + Jobs[[#This Row],[Extras]]</f>
        <v>15694.223999999998</v>
      </c>
      <c r="T24" s="2">
        <f>S24*(1+Settings!$D$5)</f>
        <v>47082.671999999991</v>
      </c>
      <c r="U24" s="2">
        <f>Jobs[[#This Row],[Sugested Price/t]] - Jobs[[#This Row],[base price/t]]</f>
        <v>31388.447999999993</v>
      </c>
      <c r="V24" s="3">
        <f>IFERROR(Jobs[[#This Row],[Gross margin/t]] / Jobs[[#This Row],[base price/t]], 0)</f>
        <v>1.9999999999999998</v>
      </c>
      <c r="W24"/>
    </row>
    <row r="25" spans="2:23" x14ac:dyDescent="0.25">
      <c r="B25" s="18" t="s">
        <v>283</v>
      </c>
      <c r="C25" s="18">
        <v>1</v>
      </c>
      <c r="D25" t="s">
        <v>129</v>
      </c>
      <c r="E25" t="s">
        <v>5</v>
      </c>
      <c r="F25" t="s">
        <v>22</v>
      </c>
      <c r="G25" s="1">
        <v>15</v>
      </c>
      <c r="J25" s="22">
        <v>3.125E-2</v>
      </c>
      <c r="K25" s="22"/>
      <c r="L25" s="2"/>
      <c r="M25" s="2">
        <f>_xlfn.LET(
    _xlpm.qty, C25,
    _xlpm.weight_g, G25 + H25 + Jobs[[#This Row],[Flushed/g]],
    _xlpm.material, TRIM(E25),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40950</v>
      </c>
      <c r="N25" s="2">
        <f>_xlfn.LET(
    _xlpm.qty, C25,
    _xlpm.hours, J25*24,
    _xlpm.power_w, _xlfn.XLOOKUP(TRIM(D25), Settings!$F$4:$F$101, Settings!$G$4:$G$101, 120),
    _xlpm.rate, Settings!$D$4,
    _xlpm.qty * _xlpm.hours * (_xlpm.power_w / 1000) * _xlpm.rate
)</f>
        <v>73.08</v>
      </c>
      <c r="O25" s="2">
        <f>_xlfn.LET(
    _xlpm.qty, C25,
    _xlpm.hours, J25*24,
    _xlpm.price, _xlfn.XLOOKUP(TRIM(D25), Settings!$F$4:$F$101, Settings!$H$4:$H$101, 0),
    _xlpm.life, _xlfn.XLOOKUP(TRIM(D25), Settings!$F$4:$F$101, Settings!$I$4:$I$101, 1),
    _xlpm.qty * _xlpm.hours * (_xlpm.price / _xlpm.life)
)</f>
        <v>14100</v>
      </c>
      <c r="P25" s="2">
        <f>_xlfn.LET(
    _xlpm.qty, C25,
    _xlpm.hours, J25*24,
    _xlpm.price, _xlfn.XLOOKUP(TRIM(D25), Settings!$F$4:$F$101, Settings!$H$4:$H$101, 0),
    _xlpm.life, _xlfn.XLOOKUP(TRIM(D25), Settings!$F$4:$F$101, Settings!$I$4:$I$101, 1),
    _xlpm.pct, _xlfn.XLOOKUP(TRIM(D25), Settings!$F$4:$F$101, Settings!$J$4:$J$101, 0),
    _xlpm.qty * _xlpm.hours * (_xlpm.price / _xlpm.life * _xlpm.pct)
)</f>
        <v>705</v>
      </c>
      <c r="Q25" s="2">
        <f>Jobs[[#This Row],[Post Pro/h]]*Settings!$D$18</f>
        <v>0</v>
      </c>
      <c r="R25" s="2">
        <f>(Jobs[[#This Row],[power/t]]+Jobs[[#This Row],[Matrial/t]]+Jobs[[#This Row],[downturn/t]]+Jobs[[#This Row],[Maintenance/t]]+Jobs[[#This Row],[Coloring/t]]+Jobs[[#This Row],[Extras]])*Settings!$D$12</f>
        <v>16748.423999999999</v>
      </c>
      <c r="S25" s="2">
        <f>Jobs[[#This Row],[Matrial/t]] + Jobs[[#This Row],[power/t]] + Jobs[[#This Row],[downturn/t]] + Jobs[[#This Row],[Maintenance/t]] + Jobs[[#This Row],[Coloring/t]] + Jobs[[#This Row],[overhead/t]] + Jobs[[#This Row],[Extras]]</f>
        <v>72576.504000000001</v>
      </c>
      <c r="T25" s="2">
        <f>S25*(1+Settings!$D$5)</f>
        <v>217729.51199999999</v>
      </c>
      <c r="U25" s="2">
        <f>Jobs[[#This Row],[Sugested Price/t]] - Jobs[[#This Row],[base price/t]]</f>
        <v>145153.00799999997</v>
      </c>
      <c r="V25" s="3">
        <f>IFERROR(Jobs[[#This Row],[Gross margin/t]] / Jobs[[#This Row],[base price/t]], 0)</f>
        <v>1.9999999999999996</v>
      </c>
      <c r="W25"/>
    </row>
    <row r="26" spans="2:23" x14ac:dyDescent="0.25">
      <c r="B26" s="18" t="s">
        <v>284</v>
      </c>
      <c r="C26" s="18">
        <v>1</v>
      </c>
      <c r="D26" t="s">
        <v>129</v>
      </c>
      <c r="E26" t="s">
        <v>5</v>
      </c>
      <c r="F26" t="s">
        <v>93</v>
      </c>
      <c r="G26" s="1">
        <v>3</v>
      </c>
      <c r="J26" s="22">
        <v>1.5277777777777777E-2</v>
      </c>
      <c r="K26" s="22"/>
      <c r="L26" s="2"/>
      <c r="M26" s="2">
        <f>_xlfn.LET(
    _xlpm.qty, C26,
    _xlpm.weight_g, G26 + H26 + Jobs[[#This Row],[Flushed/g]],
    _xlpm.material, TRIM(E26),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8190</v>
      </c>
      <c r="N26" s="2">
        <f>_xlfn.LET(
    _xlpm.qty, C26,
    _xlpm.hours, J26*24,
    _xlpm.power_w, _xlfn.XLOOKUP(TRIM(D26), Settings!$F$4:$F$101, Settings!$G$4:$G$101, 120),
    _xlpm.rate, Settings!$D$4,
    _xlpm.qty * _xlpm.hours * (_xlpm.power_w / 1000) * _xlpm.rate
)</f>
        <v>35.727999999999994</v>
      </c>
      <c r="O26" s="2">
        <f>_xlfn.LET(
    _xlpm.qty, C26,
    _xlpm.hours, J26*24,
    _xlpm.price, _xlfn.XLOOKUP(TRIM(D26), Settings!$F$4:$F$101, Settings!$H$4:$H$101, 0),
    _xlpm.life, _xlfn.XLOOKUP(TRIM(D26), Settings!$F$4:$F$101, Settings!$I$4:$I$101, 1),
    _xlpm.qty * _xlpm.hours * (_xlpm.price / _xlpm.life)
)</f>
        <v>6893.333333333333</v>
      </c>
      <c r="P26" s="2">
        <f>_xlfn.LET(
    _xlpm.qty, C26,
    _xlpm.hours, J26*24,
    _xlpm.price, _xlfn.XLOOKUP(TRIM(D26), Settings!$F$4:$F$101, Settings!$H$4:$H$101, 0),
    _xlpm.life, _xlfn.XLOOKUP(TRIM(D26), Settings!$F$4:$F$101, Settings!$I$4:$I$101, 1),
    _xlpm.pct, _xlfn.XLOOKUP(TRIM(D26), Settings!$F$4:$F$101, Settings!$J$4:$J$101, 0),
    _xlpm.qty * _xlpm.hours * (_xlpm.price / _xlpm.life * _xlpm.pct)
)</f>
        <v>344.66666666666663</v>
      </c>
      <c r="Q26" s="2">
        <f>Jobs[[#This Row],[Post Pro/h]]*Settings!$D$18</f>
        <v>0</v>
      </c>
      <c r="R26" s="2">
        <f>(Jobs[[#This Row],[power/t]]+Jobs[[#This Row],[Matrial/t]]+Jobs[[#This Row],[downturn/t]]+Jobs[[#This Row],[Maintenance/t]]+Jobs[[#This Row],[Coloring/t]]+Jobs[[#This Row],[Extras]])*Settings!$D$12</f>
        <v>4639.1183999999994</v>
      </c>
      <c r="S26" s="2">
        <f>Jobs[[#This Row],[Matrial/t]] + Jobs[[#This Row],[power/t]] + Jobs[[#This Row],[downturn/t]] + Jobs[[#This Row],[Maintenance/t]] + Jobs[[#This Row],[Coloring/t]] + Jobs[[#This Row],[overhead/t]] + Jobs[[#This Row],[Extras]]</f>
        <v>20102.846399999995</v>
      </c>
      <c r="T26" s="2">
        <f>S26*(1+Settings!$D$5)</f>
        <v>60308.539199999985</v>
      </c>
      <c r="U26" s="2">
        <f>Jobs[[#This Row],[Sugested Price/t]] - Jobs[[#This Row],[base price/t]]</f>
        <v>40205.69279999999</v>
      </c>
      <c r="V26" s="3">
        <f>IFERROR(Jobs[[#This Row],[Gross margin/t]] / Jobs[[#This Row],[base price/t]], 0)</f>
        <v>2</v>
      </c>
      <c r="W26"/>
    </row>
    <row r="27" spans="2:23" x14ac:dyDescent="0.25">
      <c r="B27" s="18" t="s">
        <v>285</v>
      </c>
      <c r="C27" s="18">
        <v>1</v>
      </c>
      <c r="D27" t="s">
        <v>129</v>
      </c>
      <c r="E27" t="s">
        <v>5</v>
      </c>
      <c r="F27" t="s">
        <v>93</v>
      </c>
      <c r="G27" s="1">
        <v>5</v>
      </c>
      <c r="J27" s="22">
        <v>2.0833333333333332E-2</v>
      </c>
      <c r="K27" s="22"/>
      <c r="L27" s="2"/>
      <c r="M27" s="2">
        <f>_xlfn.LET(
    _xlpm.qty, C27,
    _xlpm.weight_g, G27 + H27 + Jobs[[#This Row],[Flushed/g]],
    _xlpm.material, TRIM(E27),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13650</v>
      </c>
      <c r="N27" s="2">
        <f>_xlfn.LET(
    _xlpm.qty, C27,
    _xlpm.hours, J27*24,
    _xlpm.power_w, _xlfn.XLOOKUP(TRIM(D27), Settings!$F$4:$F$101, Settings!$G$4:$G$101, 120),
    _xlpm.rate, Settings!$D$4,
    _xlpm.qty * _xlpm.hours * (_xlpm.power_w / 1000) * _xlpm.rate
)</f>
        <v>48.72</v>
      </c>
      <c r="O27" s="2">
        <f>_xlfn.LET(
    _xlpm.qty, C27,
    _xlpm.hours, J27*24,
    _xlpm.price, _xlfn.XLOOKUP(TRIM(D27), Settings!$F$4:$F$101, Settings!$H$4:$H$101, 0),
    _xlpm.life, _xlfn.XLOOKUP(TRIM(D27), Settings!$F$4:$F$101, Settings!$I$4:$I$101, 1),
    _xlpm.qty * _xlpm.hours * (_xlpm.price / _xlpm.life)
)</f>
        <v>9400</v>
      </c>
      <c r="P27" s="2">
        <f>_xlfn.LET(
    _xlpm.qty, C27,
    _xlpm.hours, J27*24,
    _xlpm.price, _xlfn.XLOOKUP(TRIM(D27), Settings!$F$4:$F$101, Settings!$H$4:$H$101, 0),
    _xlpm.life, _xlfn.XLOOKUP(TRIM(D27), Settings!$F$4:$F$101, Settings!$I$4:$I$101, 1),
    _xlpm.pct, _xlfn.XLOOKUP(TRIM(D27), Settings!$F$4:$F$101, Settings!$J$4:$J$101, 0),
    _xlpm.qty * _xlpm.hours * (_xlpm.price / _xlpm.life * _xlpm.pct)
)</f>
        <v>470</v>
      </c>
      <c r="Q27" s="2">
        <f>Jobs[[#This Row],[Post Pro/h]]*Settings!$D$18</f>
        <v>0</v>
      </c>
      <c r="R27" s="2">
        <f>(Jobs[[#This Row],[power/t]]+Jobs[[#This Row],[Matrial/t]]+Jobs[[#This Row],[downturn/t]]+Jobs[[#This Row],[Maintenance/t]]+Jobs[[#This Row],[Coloring/t]]+Jobs[[#This Row],[Extras]])*Settings!$D$12</f>
        <v>7070.616</v>
      </c>
      <c r="S27" s="2">
        <f>Jobs[[#This Row],[Matrial/t]] + Jobs[[#This Row],[power/t]] + Jobs[[#This Row],[downturn/t]] + Jobs[[#This Row],[Maintenance/t]] + Jobs[[#This Row],[Coloring/t]] + Jobs[[#This Row],[overhead/t]] + Jobs[[#This Row],[Extras]]</f>
        <v>30639.336000000003</v>
      </c>
      <c r="T27" s="2">
        <f>S27*(1+Settings!$D$5)</f>
        <v>91918.008000000002</v>
      </c>
      <c r="U27" s="2">
        <f>Jobs[[#This Row],[Sugested Price/t]] - Jobs[[#This Row],[base price/t]]</f>
        <v>61278.671999999999</v>
      </c>
      <c r="V27" s="3">
        <f>IFERROR(Jobs[[#This Row],[Gross margin/t]] / Jobs[[#This Row],[base price/t]], 0)</f>
        <v>1.9999999999999998</v>
      </c>
      <c r="W27"/>
    </row>
    <row r="28" spans="2:23" x14ac:dyDescent="0.25">
      <c r="B28" s="18" t="s">
        <v>286</v>
      </c>
      <c r="C28" s="18">
        <v>1</v>
      </c>
      <c r="D28" t="s">
        <v>129</v>
      </c>
      <c r="E28" t="s">
        <v>5</v>
      </c>
      <c r="F28" t="s">
        <v>22</v>
      </c>
      <c r="G28" s="1">
        <v>11</v>
      </c>
      <c r="J28" s="22">
        <v>4.1666666666666664E-2</v>
      </c>
      <c r="K28" s="22"/>
      <c r="L28" s="2"/>
      <c r="M28" s="2">
        <f>_xlfn.LET(
    _xlpm.qty, C28,
    _xlpm.weight_g, G28 + H28 + Jobs[[#This Row],[Flushed/g]],
    _xlpm.material, TRIM(E28),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30030</v>
      </c>
      <c r="N28" s="2">
        <f>_xlfn.LET(
    _xlpm.qty, C28,
    _xlpm.hours, J28*24,
    _xlpm.power_w, _xlfn.XLOOKUP(TRIM(D28), Settings!$F$4:$F$101, Settings!$G$4:$G$101, 120),
    _xlpm.rate, Settings!$D$4,
    _xlpm.qty * _xlpm.hours * (_xlpm.power_w / 1000) * _xlpm.rate
)</f>
        <v>97.44</v>
      </c>
      <c r="O28" s="2">
        <f>_xlfn.LET(
    _xlpm.qty, C28,
    _xlpm.hours, J28*24,
    _xlpm.price, _xlfn.XLOOKUP(TRIM(D28), Settings!$F$4:$F$101, Settings!$H$4:$H$101, 0),
    _xlpm.life, _xlfn.XLOOKUP(TRIM(D28), Settings!$F$4:$F$101, Settings!$I$4:$I$101, 1),
    _xlpm.qty * _xlpm.hours * (_xlpm.price / _xlpm.life)
)</f>
        <v>18800</v>
      </c>
      <c r="P28" s="2">
        <f>_xlfn.LET(
    _xlpm.qty, C28,
    _xlpm.hours, J28*24,
    _xlpm.price, _xlfn.XLOOKUP(TRIM(D28), Settings!$F$4:$F$101, Settings!$H$4:$H$101, 0),
    _xlpm.life, _xlfn.XLOOKUP(TRIM(D28), Settings!$F$4:$F$101, Settings!$I$4:$I$101, 1),
    _xlpm.pct, _xlfn.XLOOKUP(TRIM(D28), Settings!$F$4:$F$101, Settings!$J$4:$J$101, 0),
    _xlpm.qty * _xlpm.hours * (_xlpm.price / _xlpm.life * _xlpm.pct)
)</f>
        <v>940</v>
      </c>
      <c r="Q28" s="2">
        <f>Jobs[[#This Row],[Post Pro/h]]*Settings!$D$18</f>
        <v>0</v>
      </c>
      <c r="R28" s="2">
        <f>(Jobs[[#This Row],[power/t]]+Jobs[[#This Row],[Matrial/t]]+Jobs[[#This Row],[downturn/t]]+Jobs[[#This Row],[Maintenance/t]]+Jobs[[#This Row],[Coloring/t]]+Jobs[[#This Row],[Extras]])*Settings!$D$12</f>
        <v>14960.232</v>
      </c>
      <c r="S28" s="2">
        <f>Jobs[[#This Row],[Matrial/t]] + Jobs[[#This Row],[power/t]] + Jobs[[#This Row],[downturn/t]] + Jobs[[#This Row],[Maintenance/t]] + Jobs[[#This Row],[Coloring/t]] + Jobs[[#This Row],[overhead/t]] + Jobs[[#This Row],[Extras]]</f>
        <v>64827.672000000006</v>
      </c>
      <c r="T28" s="2">
        <f>S28*(1+Settings!$D$5)</f>
        <v>194483.016</v>
      </c>
      <c r="U28" s="2">
        <f>Jobs[[#This Row],[Sugested Price/t]] - Jobs[[#This Row],[base price/t]]</f>
        <v>129655.344</v>
      </c>
      <c r="V28" s="3">
        <f>IFERROR(Jobs[[#This Row],[Gross margin/t]] / Jobs[[#This Row],[base price/t]], 0)</f>
        <v>1.9999999999999998</v>
      </c>
      <c r="W28"/>
    </row>
    <row r="29" spans="2:23" x14ac:dyDescent="0.25">
      <c r="B29" s="18" t="s">
        <v>287</v>
      </c>
      <c r="C29" s="18">
        <v>1</v>
      </c>
      <c r="D29" t="s">
        <v>129</v>
      </c>
      <c r="E29" t="s">
        <v>5</v>
      </c>
      <c r="F29" t="s">
        <v>32</v>
      </c>
      <c r="G29" s="1">
        <v>13</v>
      </c>
      <c r="J29" s="22">
        <v>2.5000000000000001E-2</v>
      </c>
      <c r="K29" s="22"/>
      <c r="L29" s="2"/>
      <c r="M29" s="2">
        <f>_xlfn.LET(
    _xlpm.qty, C29,
    _xlpm.weight_g, G29 + H29 + Jobs[[#This Row],[Flushed/g]],
    _xlpm.material, TRIM(E29),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35490</v>
      </c>
      <c r="N29" s="2">
        <f>_xlfn.LET(
    _xlpm.qty, C29,
    _xlpm.hours, J29*24,
    _xlpm.power_w, _xlfn.XLOOKUP(TRIM(D29), Settings!$F$4:$F$101, Settings!$G$4:$G$101, 120),
    _xlpm.rate, Settings!$D$4,
    _xlpm.qty * _xlpm.hours * (_xlpm.power_w / 1000) * _xlpm.rate
)</f>
        <v>58.464000000000006</v>
      </c>
      <c r="O29" s="2">
        <f>_xlfn.LET(
    _xlpm.qty, C29,
    _xlpm.hours, J29*24,
    _xlpm.price, _xlfn.XLOOKUP(TRIM(D29), Settings!$F$4:$F$101, Settings!$H$4:$H$101, 0),
    _xlpm.life, _xlfn.XLOOKUP(TRIM(D29), Settings!$F$4:$F$101, Settings!$I$4:$I$101, 1),
    _xlpm.qty * _xlpm.hours * (_xlpm.price / _xlpm.life)
)</f>
        <v>11280.000000000002</v>
      </c>
      <c r="P29" s="2">
        <f>_xlfn.LET(
    _xlpm.qty, C29,
    _xlpm.hours, J29*24,
    _xlpm.price, _xlfn.XLOOKUP(TRIM(D29), Settings!$F$4:$F$101, Settings!$H$4:$H$101, 0),
    _xlpm.life, _xlfn.XLOOKUP(TRIM(D29), Settings!$F$4:$F$101, Settings!$I$4:$I$101, 1),
    _xlpm.pct, _xlfn.XLOOKUP(TRIM(D29), Settings!$F$4:$F$101, Settings!$J$4:$J$101, 0),
    _xlpm.qty * _xlpm.hours * (_xlpm.price / _xlpm.life * _xlpm.pct)
)</f>
        <v>564.00000000000011</v>
      </c>
      <c r="Q29" s="2">
        <f>Jobs[[#This Row],[Post Pro/h]]*Settings!$D$18</f>
        <v>0</v>
      </c>
      <c r="R29" s="2">
        <f>(Jobs[[#This Row],[power/t]]+Jobs[[#This Row],[Matrial/t]]+Jobs[[#This Row],[downturn/t]]+Jobs[[#This Row],[Maintenance/t]]+Jobs[[#This Row],[Coloring/t]]+Jobs[[#This Row],[Extras]])*Settings!$D$12</f>
        <v>14217.7392</v>
      </c>
      <c r="S29" s="2">
        <f>Jobs[[#This Row],[Matrial/t]] + Jobs[[#This Row],[power/t]] + Jobs[[#This Row],[downturn/t]] + Jobs[[#This Row],[Maintenance/t]] + Jobs[[#This Row],[Coloring/t]] + Jobs[[#This Row],[overhead/t]] + Jobs[[#This Row],[Extras]]</f>
        <v>61610.203200000004</v>
      </c>
      <c r="T29" s="2">
        <f>S29*(1+Settings!$D$5)</f>
        <v>184830.60960000003</v>
      </c>
      <c r="U29" s="2">
        <f>Jobs[[#This Row],[Sugested Price/t]] - Jobs[[#This Row],[base price/t]]</f>
        <v>123220.40640000002</v>
      </c>
      <c r="V29" s="3">
        <f>IFERROR(Jobs[[#This Row],[Gross margin/t]] / Jobs[[#This Row],[base price/t]], 0)</f>
        <v>2.0000000000000004</v>
      </c>
      <c r="W29"/>
    </row>
    <row r="30" spans="2:23" x14ac:dyDescent="0.25">
      <c r="B30" s="18" t="s">
        <v>288</v>
      </c>
      <c r="C30" s="18">
        <v>1</v>
      </c>
      <c r="D30" t="s">
        <v>129</v>
      </c>
      <c r="E30" t="s">
        <v>5</v>
      </c>
      <c r="F30" t="s">
        <v>22</v>
      </c>
      <c r="G30" s="1">
        <v>16</v>
      </c>
      <c r="J30" s="22">
        <v>0.05</v>
      </c>
      <c r="K30" s="22"/>
      <c r="L30" s="2"/>
      <c r="M30" s="2">
        <f>_xlfn.LET(
    _xlpm.qty, C30,
    _xlpm.weight_g, G30 + H30 + Jobs[[#This Row],[Flushed/g]],
    _xlpm.material, TRIM(E30),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43680</v>
      </c>
      <c r="N30" s="2">
        <f>_xlfn.LET(
    _xlpm.qty, C30,
    _xlpm.hours, J30*24,
    _xlpm.power_w, _xlfn.XLOOKUP(TRIM(D30), Settings!$F$4:$F$101, Settings!$G$4:$G$101, 120),
    _xlpm.rate, Settings!$D$4,
    _xlpm.qty * _xlpm.hours * (_xlpm.power_w / 1000) * _xlpm.rate
)</f>
        <v>116.92800000000001</v>
      </c>
      <c r="O30" s="2">
        <f>_xlfn.LET(
    _xlpm.qty, C30,
    _xlpm.hours, J30*24,
    _xlpm.price, _xlfn.XLOOKUP(TRIM(D30), Settings!$F$4:$F$101, Settings!$H$4:$H$101, 0),
    _xlpm.life, _xlfn.XLOOKUP(TRIM(D30), Settings!$F$4:$F$101, Settings!$I$4:$I$101, 1),
    _xlpm.qty * _xlpm.hours * (_xlpm.price / _xlpm.life)
)</f>
        <v>22560.000000000004</v>
      </c>
      <c r="P30" s="2">
        <f>_xlfn.LET(
    _xlpm.qty, C30,
    _xlpm.hours, J30*24,
    _xlpm.price, _xlfn.XLOOKUP(TRIM(D30), Settings!$F$4:$F$101, Settings!$H$4:$H$101, 0),
    _xlpm.life, _xlfn.XLOOKUP(TRIM(D30), Settings!$F$4:$F$101, Settings!$I$4:$I$101, 1),
    _xlpm.pct, _xlfn.XLOOKUP(TRIM(D30), Settings!$F$4:$F$101, Settings!$J$4:$J$101, 0),
    _xlpm.qty * _xlpm.hours * (_xlpm.price / _xlpm.life * _xlpm.pct)
)</f>
        <v>1128.0000000000002</v>
      </c>
      <c r="Q30" s="2">
        <f>Jobs[[#This Row],[Post Pro/h]]*Settings!$D$18</f>
        <v>0</v>
      </c>
      <c r="R30" s="2">
        <f>(Jobs[[#This Row],[power/t]]+Jobs[[#This Row],[Matrial/t]]+Jobs[[#This Row],[downturn/t]]+Jobs[[#This Row],[Maintenance/t]]+Jobs[[#This Row],[Coloring/t]]+Jobs[[#This Row],[Extras]])*Settings!$D$12</f>
        <v>20245.4784</v>
      </c>
      <c r="S30" s="2">
        <f>Jobs[[#This Row],[Matrial/t]] + Jobs[[#This Row],[power/t]] + Jobs[[#This Row],[downturn/t]] + Jobs[[#This Row],[Maintenance/t]] + Jobs[[#This Row],[Coloring/t]] + Jobs[[#This Row],[overhead/t]] + Jobs[[#This Row],[Extras]]</f>
        <v>87730.406400000007</v>
      </c>
      <c r="T30" s="2">
        <f>S30*(1+Settings!$D$5)</f>
        <v>263191.21920000005</v>
      </c>
      <c r="U30" s="2">
        <f>Jobs[[#This Row],[Sugested Price/t]] - Jobs[[#This Row],[base price/t]]</f>
        <v>175460.81280000004</v>
      </c>
      <c r="V30" s="3">
        <f>IFERROR(Jobs[[#This Row],[Gross margin/t]] / Jobs[[#This Row],[base price/t]], 0)</f>
        <v>2.0000000000000004</v>
      </c>
      <c r="W30"/>
    </row>
    <row r="31" spans="2:23" x14ac:dyDescent="0.25">
      <c r="B31" s="18" t="s">
        <v>289</v>
      </c>
      <c r="C31" s="18">
        <v>1</v>
      </c>
      <c r="D31" t="s">
        <v>129</v>
      </c>
      <c r="E31" t="s">
        <v>5</v>
      </c>
      <c r="F31" t="s">
        <v>93</v>
      </c>
      <c r="G31" s="1">
        <v>118</v>
      </c>
      <c r="J31" s="22">
        <v>0.56944444444444442</v>
      </c>
      <c r="K31" s="22"/>
      <c r="L31" s="2"/>
      <c r="M31" s="2">
        <f>_xlfn.LET(
    _xlpm.qty, C31,
    _xlpm.weight_g, G31 + H31 + Jobs[[#This Row],[Flushed/g]],
    _xlpm.material, TRIM(E31),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322140</v>
      </c>
      <c r="N31" s="2">
        <f>_xlfn.LET(
    _xlpm.qty, C31,
    _xlpm.hours, J31*24,
    _xlpm.power_w, _xlfn.XLOOKUP(TRIM(D31), Settings!$F$4:$F$101, Settings!$G$4:$G$101, 120),
    _xlpm.rate, Settings!$D$4,
    _xlpm.qty * _xlpm.hours * (_xlpm.power_w / 1000) * _xlpm.rate
)</f>
        <v>1331.6799999999998</v>
      </c>
      <c r="O31" s="2">
        <f>_xlfn.LET(
    _xlpm.qty, C31,
    _xlpm.hours, J31*24,
    _xlpm.price, _xlfn.XLOOKUP(TRIM(D31), Settings!$F$4:$F$101, Settings!$H$4:$H$101, 0),
    _xlpm.life, _xlfn.XLOOKUP(TRIM(D31), Settings!$F$4:$F$101, Settings!$I$4:$I$101, 1),
    _xlpm.qty * _xlpm.hours * (_xlpm.price / _xlpm.life)
)</f>
        <v>256933.33333333331</v>
      </c>
      <c r="P31" s="2">
        <f>_xlfn.LET(
    _xlpm.qty, C31,
    _xlpm.hours, J31*24,
    _xlpm.price, _xlfn.XLOOKUP(TRIM(D31), Settings!$F$4:$F$101, Settings!$H$4:$H$101, 0),
    _xlpm.life, _xlfn.XLOOKUP(TRIM(D31), Settings!$F$4:$F$101, Settings!$I$4:$I$101, 1),
    _xlpm.pct, _xlfn.XLOOKUP(TRIM(D31), Settings!$F$4:$F$101, Settings!$J$4:$J$101, 0),
    _xlpm.qty * _xlpm.hours * (_xlpm.price / _xlpm.life * _xlpm.pct)
)</f>
        <v>12846.666666666666</v>
      </c>
      <c r="Q31" s="2">
        <f>Jobs[[#This Row],[Post Pro/h]]*Settings!$D$18</f>
        <v>0</v>
      </c>
      <c r="R31" s="2">
        <f>(Jobs[[#This Row],[power/t]]+Jobs[[#This Row],[Matrial/t]]+Jobs[[#This Row],[downturn/t]]+Jobs[[#This Row],[Maintenance/t]]+Jobs[[#This Row],[Coloring/t]]+Jobs[[#This Row],[Extras]])*Settings!$D$12</f>
        <v>177975.50399999999</v>
      </c>
      <c r="S31" s="2">
        <f>Jobs[[#This Row],[Matrial/t]] + Jobs[[#This Row],[power/t]] + Jobs[[#This Row],[downturn/t]] + Jobs[[#This Row],[Maintenance/t]] + Jobs[[#This Row],[Coloring/t]] + Jobs[[#This Row],[overhead/t]] + Jobs[[#This Row],[Extras]]</f>
        <v>771227.18399999989</v>
      </c>
      <c r="T31" s="2">
        <f>S31*(1+Settings!$D$5)</f>
        <v>2313681.5519999997</v>
      </c>
      <c r="U31" s="2">
        <f>Jobs[[#This Row],[Sugested Price/t]] - Jobs[[#This Row],[base price/t]]</f>
        <v>1542454.3679999998</v>
      </c>
      <c r="V31" s="3">
        <f>IFERROR(Jobs[[#This Row],[Gross margin/t]] / Jobs[[#This Row],[base price/t]], 0)</f>
        <v>2</v>
      </c>
      <c r="W31"/>
    </row>
    <row r="32" spans="2:23" x14ac:dyDescent="0.25">
      <c r="B32" s="18" t="s">
        <v>290</v>
      </c>
      <c r="C32" s="18">
        <v>1</v>
      </c>
      <c r="D32" t="s">
        <v>129</v>
      </c>
      <c r="E32" t="s">
        <v>5</v>
      </c>
      <c r="F32" t="s">
        <v>32</v>
      </c>
      <c r="G32" s="1">
        <v>8</v>
      </c>
      <c r="J32" s="22">
        <v>2.2222222222222223E-2</v>
      </c>
      <c r="K32" s="22"/>
      <c r="L32" s="2"/>
      <c r="M32" s="2">
        <f>_xlfn.LET(
    _xlpm.qty, C32,
    _xlpm.weight_g, G32 + H32 + Jobs[[#This Row],[Flushed/g]],
    _xlpm.material, TRIM(E32),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21840</v>
      </c>
      <c r="N32" s="2">
        <f>_xlfn.LET(
    _xlpm.qty, C32,
    _xlpm.hours, J32*24,
    _xlpm.power_w, _xlfn.XLOOKUP(TRIM(D32), Settings!$F$4:$F$101, Settings!$G$4:$G$101, 120),
    _xlpm.rate, Settings!$D$4,
    _xlpm.qty * _xlpm.hours * (_xlpm.power_w / 1000) * _xlpm.rate
)</f>
        <v>51.968000000000004</v>
      </c>
      <c r="O32" s="2">
        <f>_xlfn.LET(
    _xlpm.qty, C32,
    _xlpm.hours, J32*24,
    _xlpm.price, _xlfn.XLOOKUP(TRIM(D32), Settings!$F$4:$F$101, Settings!$H$4:$H$101, 0),
    _xlpm.life, _xlfn.XLOOKUP(TRIM(D32), Settings!$F$4:$F$101, Settings!$I$4:$I$101, 1),
    _xlpm.qty * _xlpm.hours * (_xlpm.price / _xlpm.life)
)</f>
        <v>10026.666666666666</v>
      </c>
      <c r="P32" s="2">
        <f>_xlfn.LET(
    _xlpm.qty, C32,
    _xlpm.hours, J32*24,
    _xlpm.price, _xlfn.XLOOKUP(TRIM(D32), Settings!$F$4:$F$101, Settings!$H$4:$H$101, 0),
    _xlpm.life, _xlfn.XLOOKUP(TRIM(D32), Settings!$F$4:$F$101, Settings!$I$4:$I$101, 1),
    _xlpm.pct, _xlfn.XLOOKUP(TRIM(D32), Settings!$F$4:$F$101, Settings!$J$4:$J$101, 0),
    _xlpm.qty * _xlpm.hours * (_xlpm.price / _xlpm.life * _xlpm.pct)
)</f>
        <v>501.33333333333331</v>
      </c>
      <c r="Q32" s="2">
        <f>Jobs[[#This Row],[Post Pro/h]]*Settings!$D$18</f>
        <v>0</v>
      </c>
      <c r="R32" s="2">
        <f>(Jobs[[#This Row],[power/t]]+Jobs[[#This Row],[Matrial/t]]+Jobs[[#This Row],[downturn/t]]+Jobs[[#This Row],[Maintenance/t]]+Jobs[[#This Row],[Coloring/t]]+Jobs[[#This Row],[Extras]])*Settings!$D$12</f>
        <v>9725.9903999999988</v>
      </c>
      <c r="S32" s="2">
        <f>Jobs[[#This Row],[Matrial/t]] + Jobs[[#This Row],[power/t]] + Jobs[[#This Row],[downturn/t]] + Jobs[[#This Row],[Maintenance/t]] + Jobs[[#This Row],[Coloring/t]] + Jobs[[#This Row],[overhead/t]] + Jobs[[#This Row],[Extras]]</f>
        <v>42145.958399999996</v>
      </c>
      <c r="T32" s="2">
        <f>S32*(1+Settings!$D$5)</f>
        <v>126437.87519999998</v>
      </c>
      <c r="U32" s="2">
        <f>Jobs[[#This Row],[Sugested Price/t]] - Jobs[[#This Row],[base price/t]]</f>
        <v>84291.916799999977</v>
      </c>
      <c r="V32" s="3">
        <f>IFERROR(Jobs[[#This Row],[Gross margin/t]] / Jobs[[#This Row],[base price/t]], 0)</f>
        <v>1.9999999999999996</v>
      </c>
      <c r="W32"/>
    </row>
    <row r="33" spans="1:23" x14ac:dyDescent="0.25">
      <c r="B33" s="18" t="s">
        <v>291</v>
      </c>
      <c r="C33" s="18">
        <v>1</v>
      </c>
      <c r="D33" t="s">
        <v>129</v>
      </c>
      <c r="E33" t="s">
        <v>5</v>
      </c>
      <c r="F33" t="s">
        <v>93</v>
      </c>
      <c r="G33" s="1">
        <v>3</v>
      </c>
      <c r="J33" s="22">
        <v>1.0416666666666666E-2</v>
      </c>
      <c r="K33" s="22"/>
      <c r="L33" s="2"/>
      <c r="M33" s="2">
        <f>_xlfn.LET(
    _xlpm.qty, C33,
    _xlpm.weight_g, G33 + H33 + Jobs[[#This Row],[Flushed/g]],
    _xlpm.material, TRIM(E33),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8190</v>
      </c>
      <c r="N33" s="2">
        <f>_xlfn.LET(
    _xlpm.qty, C33,
    _xlpm.hours, J33*24,
    _xlpm.power_w, _xlfn.XLOOKUP(TRIM(D33), Settings!$F$4:$F$101, Settings!$G$4:$G$101, 120),
    _xlpm.rate, Settings!$D$4,
    _xlpm.qty * _xlpm.hours * (_xlpm.power_w / 1000) * _xlpm.rate
)</f>
        <v>24.36</v>
      </c>
      <c r="O33" s="2">
        <f>_xlfn.LET(
    _xlpm.qty, C33,
    _xlpm.hours, J33*24,
    _xlpm.price, _xlfn.XLOOKUP(TRIM(D33), Settings!$F$4:$F$101, Settings!$H$4:$H$101, 0),
    _xlpm.life, _xlfn.XLOOKUP(TRIM(D33), Settings!$F$4:$F$101, Settings!$I$4:$I$101, 1),
    _xlpm.qty * _xlpm.hours * (_xlpm.price / _xlpm.life)
)</f>
        <v>4700</v>
      </c>
      <c r="P33" s="2">
        <f>_xlfn.LET(
    _xlpm.qty, C33,
    _xlpm.hours, J33*24,
    _xlpm.price, _xlfn.XLOOKUP(TRIM(D33), Settings!$F$4:$F$101, Settings!$H$4:$H$101, 0),
    _xlpm.life, _xlfn.XLOOKUP(TRIM(D33), Settings!$F$4:$F$101, Settings!$I$4:$I$101, 1),
    _xlpm.pct, _xlfn.XLOOKUP(TRIM(D33), Settings!$F$4:$F$101, Settings!$J$4:$J$101, 0),
    _xlpm.qty * _xlpm.hours * (_xlpm.price / _xlpm.life * _xlpm.pct)
)</f>
        <v>235</v>
      </c>
      <c r="Q33" s="2">
        <f>Jobs[[#This Row],[Post Pro/h]]*Settings!$D$18</f>
        <v>0</v>
      </c>
      <c r="R33" s="2">
        <f>(Jobs[[#This Row],[power/t]]+Jobs[[#This Row],[Matrial/t]]+Jobs[[#This Row],[downturn/t]]+Jobs[[#This Row],[Maintenance/t]]+Jobs[[#This Row],[Coloring/t]]+Jobs[[#This Row],[Extras]])*Settings!$D$12</f>
        <v>3944.808</v>
      </c>
      <c r="S33" s="2">
        <f>Jobs[[#This Row],[Matrial/t]] + Jobs[[#This Row],[power/t]] + Jobs[[#This Row],[downturn/t]] + Jobs[[#This Row],[Maintenance/t]] + Jobs[[#This Row],[Coloring/t]] + Jobs[[#This Row],[overhead/t]] + Jobs[[#This Row],[Extras]]</f>
        <v>17094.168000000001</v>
      </c>
      <c r="T33" s="2">
        <f>S33*(1+Settings!$D$5)</f>
        <v>51282.504000000001</v>
      </c>
      <c r="U33" s="2">
        <f>Jobs[[#This Row],[Sugested Price/t]] - Jobs[[#This Row],[base price/t]]</f>
        <v>34188.335999999996</v>
      </c>
      <c r="V33" s="3">
        <f>IFERROR(Jobs[[#This Row],[Gross margin/t]] / Jobs[[#This Row],[base price/t]], 0)</f>
        <v>1.9999999999999996</v>
      </c>
      <c r="W33"/>
    </row>
    <row r="34" spans="1:23" x14ac:dyDescent="0.25">
      <c r="A34" t="s">
        <v>146</v>
      </c>
      <c r="B34" s="18" t="s">
        <v>308</v>
      </c>
      <c r="C34" s="18">
        <v>1</v>
      </c>
      <c r="D34" t="s">
        <v>129</v>
      </c>
      <c r="E34" t="s">
        <v>5</v>
      </c>
      <c r="F34" t="s">
        <v>22</v>
      </c>
      <c r="G34" s="1">
        <v>23</v>
      </c>
      <c r="J34" s="22">
        <v>0.10416666666666667</v>
      </c>
      <c r="K34" s="22"/>
      <c r="L34" s="2"/>
      <c r="M34" s="2">
        <f>_xlfn.LET(
    _xlpm.qty, C34,
    _xlpm.weight_g, G34 + H34 + Jobs[[#This Row],[Flushed/g]],
    _xlpm.material, TRIM(E34),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62790</v>
      </c>
      <c r="N34" s="2">
        <f>_xlfn.LET(
    _xlpm.qty, C34,
    _xlpm.hours, J34*24,
    _xlpm.power_w, _xlfn.XLOOKUP(TRIM(D34), Settings!$F$4:$F$101, Settings!$G$4:$G$101, 120),
    _xlpm.rate, Settings!$D$4,
    _xlpm.qty * _xlpm.hours * (_xlpm.power_w / 1000) * _xlpm.rate
)</f>
        <v>243.6</v>
      </c>
      <c r="O34" s="2">
        <f>_xlfn.LET(
    _xlpm.qty, C34,
    _xlpm.hours, J34*24,
    _xlpm.price, _xlfn.XLOOKUP(TRIM(D34), Settings!$F$4:$F$101, Settings!$H$4:$H$101, 0),
    _xlpm.life, _xlfn.XLOOKUP(TRIM(D34), Settings!$F$4:$F$101, Settings!$I$4:$I$101, 1),
    _xlpm.qty * _xlpm.hours * (_xlpm.price / _xlpm.life)
)</f>
        <v>47000</v>
      </c>
      <c r="P34" s="2">
        <f>_xlfn.LET(
    _xlpm.qty, C34,
    _xlpm.hours, J34*24,
    _xlpm.price, _xlfn.XLOOKUP(TRIM(D34), Settings!$F$4:$F$101, Settings!$H$4:$H$101, 0),
    _xlpm.life, _xlfn.XLOOKUP(TRIM(D34), Settings!$F$4:$F$101, Settings!$I$4:$I$101, 1),
    _xlpm.pct, _xlfn.XLOOKUP(TRIM(D34), Settings!$F$4:$F$101, Settings!$J$4:$J$101, 0),
    _xlpm.qty * _xlpm.hours * (_xlpm.price / _xlpm.life * _xlpm.pct)
)</f>
        <v>2350</v>
      </c>
      <c r="Q34" s="2">
        <f>Jobs[[#This Row],[Post Pro/h]]*Settings!$D$18</f>
        <v>0</v>
      </c>
      <c r="R34" s="2">
        <f>(Jobs[[#This Row],[power/t]]+Jobs[[#This Row],[Matrial/t]]+Jobs[[#This Row],[downturn/t]]+Jobs[[#This Row],[Maintenance/t]]+Jobs[[#This Row],[Coloring/t]]+Jobs[[#This Row],[Extras]])*Settings!$D$12</f>
        <v>33715.08</v>
      </c>
      <c r="S34" s="2">
        <f>Jobs[[#This Row],[Matrial/t]] + Jobs[[#This Row],[power/t]] + Jobs[[#This Row],[downturn/t]] + Jobs[[#This Row],[Maintenance/t]] + Jobs[[#This Row],[Coloring/t]] + Jobs[[#This Row],[overhead/t]] + Jobs[[#This Row],[Extras]]</f>
        <v>146098.68</v>
      </c>
      <c r="T34" s="2">
        <f>S34*(1+Settings!$D$5)</f>
        <v>438296.04</v>
      </c>
      <c r="U34" s="2">
        <f>Jobs[[#This Row],[Sugested Price/t]] - Jobs[[#This Row],[base price/t]]</f>
        <v>292197.36</v>
      </c>
      <c r="V34" s="3">
        <f>IFERROR(Jobs[[#This Row],[Gross margin/t]] / Jobs[[#This Row],[base price/t]], 0)</f>
        <v>2</v>
      </c>
      <c r="W34"/>
    </row>
    <row r="35" spans="1:23" x14ac:dyDescent="0.25">
      <c r="B35" s="18" t="s">
        <v>292</v>
      </c>
      <c r="C35" s="18">
        <v>1</v>
      </c>
      <c r="D35" t="s">
        <v>129</v>
      </c>
      <c r="E35" t="s">
        <v>5</v>
      </c>
      <c r="F35" t="s">
        <v>22</v>
      </c>
      <c r="G35" s="1">
        <v>9</v>
      </c>
      <c r="J35" s="22">
        <v>2.0833333333333332E-2</v>
      </c>
      <c r="K35" s="22"/>
      <c r="L35" s="2"/>
      <c r="M35" s="2">
        <f>_xlfn.LET(
    _xlpm.qty, C35,
    _xlpm.weight_g, G35 + H35 + Jobs[[#This Row],[Flushed/g]],
    _xlpm.material, TRIM(E35),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24570</v>
      </c>
      <c r="N35" s="2">
        <f>_xlfn.LET(
    _xlpm.qty, C35,
    _xlpm.hours, J35*24,
    _xlpm.power_w, _xlfn.XLOOKUP(TRIM(D35), Settings!$F$4:$F$101, Settings!$G$4:$G$101, 120),
    _xlpm.rate, Settings!$D$4,
    _xlpm.qty * _xlpm.hours * (_xlpm.power_w / 1000) * _xlpm.rate
)</f>
        <v>48.72</v>
      </c>
      <c r="O35" s="2">
        <f>_xlfn.LET(
    _xlpm.qty, C35,
    _xlpm.hours, J35*24,
    _xlpm.price, _xlfn.XLOOKUP(TRIM(D35), Settings!$F$4:$F$101, Settings!$H$4:$H$101, 0),
    _xlpm.life, _xlfn.XLOOKUP(TRIM(D35), Settings!$F$4:$F$101, Settings!$I$4:$I$101, 1),
    _xlpm.qty * _xlpm.hours * (_xlpm.price / _xlpm.life)
)</f>
        <v>9400</v>
      </c>
      <c r="P35" s="2">
        <f>_xlfn.LET(
    _xlpm.qty, C35,
    _xlpm.hours, J35*24,
    _xlpm.price, _xlfn.XLOOKUP(TRIM(D35), Settings!$F$4:$F$101, Settings!$H$4:$H$101, 0),
    _xlpm.life, _xlfn.XLOOKUP(TRIM(D35), Settings!$F$4:$F$101, Settings!$I$4:$I$101, 1),
    _xlpm.pct, _xlfn.XLOOKUP(TRIM(D35), Settings!$F$4:$F$101, Settings!$J$4:$J$101, 0),
    _xlpm.qty * _xlpm.hours * (_xlpm.price / _xlpm.life * _xlpm.pct)
)</f>
        <v>470</v>
      </c>
      <c r="Q35" s="2">
        <f>Jobs[[#This Row],[Post Pro/h]]*Settings!$D$18</f>
        <v>0</v>
      </c>
      <c r="R35" s="2">
        <f>(Jobs[[#This Row],[power/t]]+Jobs[[#This Row],[Matrial/t]]+Jobs[[#This Row],[downturn/t]]+Jobs[[#This Row],[Maintenance/t]]+Jobs[[#This Row],[Coloring/t]]+Jobs[[#This Row],[Extras]])*Settings!$D$12</f>
        <v>10346.616</v>
      </c>
      <c r="S35" s="2">
        <f>Jobs[[#This Row],[Matrial/t]] + Jobs[[#This Row],[power/t]] + Jobs[[#This Row],[downturn/t]] + Jobs[[#This Row],[Maintenance/t]] + Jobs[[#This Row],[Coloring/t]] + Jobs[[#This Row],[overhead/t]] + Jobs[[#This Row],[Extras]]</f>
        <v>44835.336000000003</v>
      </c>
      <c r="T35" s="2">
        <f>S35*(1+Settings!$D$5)</f>
        <v>134506.008</v>
      </c>
      <c r="U35" s="2">
        <f>Jobs[[#This Row],[Sugested Price/t]] - Jobs[[#This Row],[base price/t]]</f>
        <v>89670.671999999991</v>
      </c>
      <c r="V35" s="3">
        <f>IFERROR(Jobs[[#This Row],[Gross margin/t]] / Jobs[[#This Row],[base price/t]], 0)</f>
        <v>1.9999999999999998</v>
      </c>
      <c r="W35"/>
    </row>
    <row r="36" spans="1:23" x14ac:dyDescent="0.25">
      <c r="B36" s="18" t="s">
        <v>293</v>
      </c>
      <c r="C36" s="18">
        <v>1</v>
      </c>
      <c r="D36" t="s">
        <v>129</v>
      </c>
      <c r="E36" t="s">
        <v>5</v>
      </c>
      <c r="F36" t="s">
        <v>32</v>
      </c>
      <c r="G36" s="1">
        <v>13</v>
      </c>
      <c r="J36" s="22">
        <v>3.1944444444444442E-2</v>
      </c>
      <c r="K36" s="22"/>
      <c r="L36" s="2"/>
      <c r="M36" s="2">
        <f>_xlfn.LET(
    _xlpm.qty, C36,
    _xlpm.weight_g, G36 + H36 + Jobs[[#This Row],[Flushed/g]],
    _xlpm.material, TRIM(E36),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35490</v>
      </c>
      <c r="N36" s="2">
        <f>_xlfn.LET(
    _xlpm.qty, C36,
    _xlpm.hours, J36*24,
    _xlpm.power_w, _xlfn.XLOOKUP(TRIM(D36), Settings!$F$4:$F$101, Settings!$G$4:$G$101, 120),
    _xlpm.rate, Settings!$D$4,
    _xlpm.qty * _xlpm.hours * (_xlpm.power_w / 1000) * _xlpm.rate
)</f>
        <v>74.703999999999994</v>
      </c>
      <c r="O36" s="2">
        <f>_xlfn.LET(
    _xlpm.qty, C36,
    _xlpm.hours, J36*24,
    _xlpm.price, _xlfn.XLOOKUP(TRIM(D36), Settings!$F$4:$F$101, Settings!$H$4:$H$101, 0),
    _xlpm.life, _xlfn.XLOOKUP(TRIM(D36), Settings!$F$4:$F$101, Settings!$I$4:$I$101, 1),
    _xlpm.qty * _xlpm.hours * (_xlpm.price / _xlpm.life)
)</f>
        <v>14413.333333333332</v>
      </c>
      <c r="P36" s="2">
        <f>_xlfn.LET(
    _xlpm.qty, C36,
    _xlpm.hours, J36*24,
    _xlpm.price, _xlfn.XLOOKUP(TRIM(D36), Settings!$F$4:$F$101, Settings!$H$4:$H$101, 0),
    _xlpm.life, _xlfn.XLOOKUP(TRIM(D36), Settings!$F$4:$F$101, Settings!$I$4:$I$101, 1),
    _xlpm.pct, _xlfn.XLOOKUP(TRIM(D36), Settings!$F$4:$F$101, Settings!$J$4:$J$101, 0),
    _xlpm.qty * _xlpm.hours * (_xlpm.price / _xlpm.life * _xlpm.pct)
)</f>
        <v>720.66666666666663</v>
      </c>
      <c r="Q36" s="2">
        <f>Jobs[[#This Row],[Post Pro/h]]*Settings!$D$18</f>
        <v>0</v>
      </c>
      <c r="R36" s="2">
        <f>(Jobs[[#This Row],[power/t]]+Jobs[[#This Row],[Matrial/t]]+Jobs[[#This Row],[downturn/t]]+Jobs[[#This Row],[Maintenance/t]]+Jobs[[#This Row],[Coloring/t]]+Jobs[[#This Row],[Extras]])*Settings!$D$12</f>
        <v>15209.611199999996</v>
      </c>
      <c r="S36" s="2">
        <f>Jobs[[#This Row],[Matrial/t]] + Jobs[[#This Row],[power/t]] + Jobs[[#This Row],[downturn/t]] + Jobs[[#This Row],[Maintenance/t]] + Jobs[[#This Row],[Coloring/t]] + Jobs[[#This Row],[overhead/t]] + Jobs[[#This Row],[Extras]]</f>
        <v>65908.315199999983</v>
      </c>
      <c r="T36" s="2">
        <f>S36*(1+Settings!$D$5)</f>
        <v>197724.94559999995</v>
      </c>
      <c r="U36" s="2">
        <f>Jobs[[#This Row],[Sugested Price/t]] - Jobs[[#This Row],[base price/t]]</f>
        <v>131816.63039999997</v>
      </c>
      <c r="V36" s="3">
        <f>IFERROR(Jobs[[#This Row],[Gross margin/t]] / Jobs[[#This Row],[base price/t]], 0)</f>
        <v>2</v>
      </c>
      <c r="W36"/>
    </row>
    <row r="37" spans="1:23" x14ac:dyDescent="0.25">
      <c r="B37" s="18" t="s">
        <v>294</v>
      </c>
      <c r="C37" s="18">
        <v>1</v>
      </c>
      <c r="D37" t="s">
        <v>129</v>
      </c>
      <c r="E37" t="s">
        <v>5</v>
      </c>
      <c r="F37" t="s">
        <v>32</v>
      </c>
      <c r="G37" s="1">
        <v>6</v>
      </c>
      <c r="J37" s="22">
        <v>1.3888888888888888E-2</v>
      </c>
      <c r="K37" s="22"/>
      <c r="L37" s="2"/>
      <c r="M37" s="2">
        <f>_xlfn.LET(
    _xlpm.qty, C37,
    _xlpm.weight_g, G37 + H37 + Jobs[[#This Row],[Flushed/g]],
    _xlpm.material, TRIM(E37),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16380</v>
      </c>
      <c r="N37" s="2">
        <f>_xlfn.LET(
    _xlpm.qty, C37,
    _xlpm.hours, J37*24,
    _xlpm.power_w, _xlfn.XLOOKUP(TRIM(D37), Settings!$F$4:$F$101, Settings!$G$4:$G$101, 120),
    _xlpm.rate, Settings!$D$4,
    _xlpm.qty * _xlpm.hours * (_xlpm.power_w / 1000) * _xlpm.rate
)</f>
        <v>32.479999999999997</v>
      </c>
      <c r="O37" s="2">
        <f>_xlfn.LET(
    _xlpm.qty, C37,
    _xlpm.hours, J37*24,
    _xlpm.price, _xlfn.XLOOKUP(TRIM(D37), Settings!$F$4:$F$101, Settings!$H$4:$H$101, 0),
    _xlpm.life, _xlfn.XLOOKUP(TRIM(D37), Settings!$F$4:$F$101, Settings!$I$4:$I$101, 1),
    _xlpm.qty * _xlpm.hours * (_xlpm.price / _xlpm.life)
)</f>
        <v>6266.6666666666661</v>
      </c>
      <c r="P37" s="2">
        <f>_xlfn.LET(
    _xlpm.qty, C37,
    _xlpm.hours, J37*24,
    _xlpm.price, _xlfn.XLOOKUP(TRIM(D37), Settings!$F$4:$F$101, Settings!$H$4:$H$101, 0),
    _xlpm.life, _xlfn.XLOOKUP(TRIM(D37), Settings!$F$4:$F$101, Settings!$I$4:$I$101, 1),
    _xlpm.pct, _xlfn.XLOOKUP(TRIM(D37), Settings!$F$4:$F$101, Settings!$J$4:$J$101, 0),
    _xlpm.qty * _xlpm.hours * (_xlpm.price / _xlpm.life * _xlpm.pct)
)</f>
        <v>313.33333333333331</v>
      </c>
      <c r="Q37" s="2">
        <f>Jobs[[#This Row],[Post Pro/h]]*Settings!$D$18</f>
        <v>0</v>
      </c>
      <c r="R37" s="2">
        <f>(Jobs[[#This Row],[power/t]]+Jobs[[#This Row],[Matrial/t]]+Jobs[[#This Row],[downturn/t]]+Jobs[[#This Row],[Maintenance/t]]+Jobs[[#This Row],[Coloring/t]]+Jobs[[#This Row],[Extras]])*Settings!$D$12</f>
        <v>6897.7439999999997</v>
      </c>
      <c r="S37" s="2">
        <f>Jobs[[#This Row],[Matrial/t]] + Jobs[[#This Row],[power/t]] + Jobs[[#This Row],[downturn/t]] + Jobs[[#This Row],[Maintenance/t]] + Jobs[[#This Row],[Coloring/t]] + Jobs[[#This Row],[overhead/t]] + Jobs[[#This Row],[Extras]]</f>
        <v>29890.223999999998</v>
      </c>
      <c r="T37" s="2">
        <f>S37*(1+Settings!$D$5)</f>
        <v>89670.671999999991</v>
      </c>
      <c r="U37" s="2">
        <f>Jobs[[#This Row],[Sugested Price/t]] - Jobs[[#This Row],[base price/t]]</f>
        <v>59780.447999999989</v>
      </c>
      <c r="V37" s="3">
        <f>IFERROR(Jobs[[#This Row],[Gross margin/t]] / Jobs[[#This Row],[base price/t]], 0)</f>
        <v>1.9999999999999998</v>
      </c>
      <c r="W37"/>
    </row>
    <row r="38" spans="1:23" x14ac:dyDescent="0.25">
      <c r="B38" s="18" t="s">
        <v>295</v>
      </c>
      <c r="C38" s="18">
        <v>1</v>
      </c>
      <c r="D38" t="s">
        <v>129</v>
      </c>
      <c r="E38" t="s">
        <v>5</v>
      </c>
      <c r="F38" t="s">
        <v>31</v>
      </c>
      <c r="G38" s="1">
        <v>16</v>
      </c>
      <c r="J38" s="22">
        <v>4.3055555555555555E-2</v>
      </c>
      <c r="K38" s="22"/>
      <c r="L38" s="2"/>
      <c r="M38" s="2">
        <f>_xlfn.LET(
    _xlpm.qty, C38,
    _xlpm.weight_g, G38 + H38 + Jobs[[#This Row],[Flushed/g]],
    _xlpm.material, TRIM(E38),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43680</v>
      </c>
      <c r="N38" s="2">
        <f>_xlfn.LET(
    _xlpm.qty, C38,
    _xlpm.hours, J38*24,
    _xlpm.power_w, _xlfn.XLOOKUP(TRIM(D38), Settings!$F$4:$F$101, Settings!$G$4:$G$101, 120),
    _xlpm.rate, Settings!$D$4,
    _xlpm.qty * _xlpm.hours * (_xlpm.power_w / 1000) * _xlpm.rate
)</f>
        <v>100.68799999999999</v>
      </c>
      <c r="O38" s="2">
        <f>_xlfn.LET(
    _xlpm.qty, C38,
    _xlpm.hours, J38*24,
    _xlpm.price, _xlfn.XLOOKUP(TRIM(D38), Settings!$F$4:$F$101, Settings!$H$4:$H$101, 0),
    _xlpm.life, _xlfn.XLOOKUP(TRIM(D38), Settings!$F$4:$F$101, Settings!$I$4:$I$101, 1),
    _xlpm.qty * _xlpm.hours * (_xlpm.price / _xlpm.life)
)</f>
        <v>19426.666666666664</v>
      </c>
      <c r="P38" s="2">
        <f>_xlfn.LET(
    _xlpm.qty, C38,
    _xlpm.hours, J38*24,
    _xlpm.price, _xlfn.XLOOKUP(TRIM(D38), Settings!$F$4:$F$101, Settings!$H$4:$H$101, 0),
    _xlpm.life, _xlfn.XLOOKUP(TRIM(D38), Settings!$F$4:$F$101, Settings!$I$4:$I$101, 1),
    _xlpm.pct, _xlfn.XLOOKUP(TRIM(D38), Settings!$F$4:$F$101, Settings!$J$4:$J$101, 0),
    _xlpm.qty * _xlpm.hours * (_xlpm.price / _xlpm.life * _xlpm.pct)
)</f>
        <v>971.33333333333326</v>
      </c>
      <c r="Q38" s="2">
        <f>Jobs[[#This Row],[Post Pro/h]]*Settings!$D$18</f>
        <v>0</v>
      </c>
      <c r="R38" s="2">
        <f>(Jobs[[#This Row],[power/t]]+Jobs[[#This Row],[Matrial/t]]+Jobs[[#This Row],[downturn/t]]+Jobs[[#This Row],[Maintenance/t]]+Jobs[[#This Row],[Coloring/t]]+Jobs[[#This Row],[Extras]])*Settings!$D$12</f>
        <v>19253.606400000001</v>
      </c>
      <c r="S38" s="2">
        <f>Jobs[[#This Row],[Matrial/t]] + Jobs[[#This Row],[power/t]] + Jobs[[#This Row],[downturn/t]] + Jobs[[#This Row],[Maintenance/t]] + Jobs[[#This Row],[Coloring/t]] + Jobs[[#This Row],[overhead/t]] + Jobs[[#This Row],[Extras]]</f>
        <v>83432.294399999999</v>
      </c>
      <c r="T38" s="2">
        <f>S38*(1+Settings!$D$5)</f>
        <v>250296.88319999998</v>
      </c>
      <c r="U38" s="2">
        <f>Jobs[[#This Row],[Sugested Price/t]] - Jobs[[#This Row],[base price/t]]</f>
        <v>166864.58879999997</v>
      </c>
      <c r="V38" s="3">
        <f>IFERROR(Jobs[[#This Row],[Gross margin/t]] / Jobs[[#This Row],[base price/t]], 0)</f>
        <v>1.9999999999999996</v>
      </c>
      <c r="W38"/>
    </row>
    <row r="39" spans="1:23" x14ac:dyDescent="0.25">
      <c r="B39" s="18" t="s">
        <v>296</v>
      </c>
      <c r="C39" s="18">
        <v>1</v>
      </c>
      <c r="D39" t="s">
        <v>129</v>
      </c>
      <c r="E39" t="s">
        <v>5</v>
      </c>
      <c r="F39" t="s">
        <v>93</v>
      </c>
      <c r="G39" s="1">
        <v>12</v>
      </c>
      <c r="J39" s="22">
        <v>2.1527777777777778E-2</v>
      </c>
      <c r="K39" s="22"/>
      <c r="L39" s="2"/>
      <c r="M39" s="2">
        <f>_xlfn.LET(
    _xlpm.qty, C39,
    _xlpm.weight_g, G39 + H39 + Jobs[[#This Row],[Flushed/g]],
    _xlpm.material, TRIM(E39),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32760</v>
      </c>
      <c r="N39" s="2">
        <f>_xlfn.LET(
    _xlpm.qty, C39,
    _xlpm.hours, J39*24,
    _xlpm.power_w, _xlfn.XLOOKUP(TRIM(D39), Settings!$F$4:$F$101, Settings!$G$4:$G$101, 120),
    _xlpm.rate, Settings!$D$4,
    _xlpm.qty * _xlpm.hours * (_xlpm.power_w / 1000) * _xlpm.rate
)</f>
        <v>50.343999999999994</v>
      </c>
      <c r="O39" s="2">
        <f>_xlfn.LET(
    _xlpm.qty, C39,
    _xlpm.hours, J39*24,
    _xlpm.price, _xlfn.XLOOKUP(TRIM(D39), Settings!$F$4:$F$101, Settings!$H$4:$H$101, 0),
    _xlpm.life, _xlfn.XLOOKUP(TRIM(D39), Settings!$F$4:$F$101, Settings!$I$4:$I$101, 1),
    _xlpm.qty * _xlpm.hours * (_xlpm.price / _xlpm.life)
)</f>
        <v>9713.3333333333321</v>
      </c>
      <c r="P39" s="2">
        <f>_xlfn.LET(
    _xlpm.qty, C39,
    _xlpm.hours, J39*24,
    _xlpm.price, _xlfn.XLOOKUP(TRIM(D39), Settings!$F$4:$F$101, Settings!$H$4:$H$101, 0),
    _xlpm.life, _xlfn.XLOOKUP(TRIM(D39), Settings!$F$4:$F$101, Settings!$I$4:$I$101, 1),
    _xlpm.pct, _xlfn.XLOOKUP(TRIM(D39), Settings!$F$4:$F$101, Settings!$J$4:$J$101, 0),
    _xlpm.qty * _xlpm.hours * (_xlpm.price / _xlpm.life * _xlpm.pct)
)</f>
        <v>485.66666666666663</v>
      </c>
      <c r="Q39" s="2">
        <f>Jobs[[#This Row],[Post Pro/h]]*Settings!$D$18</f>
        <v>0</v>
      </c>
      <c r="R39" s="2">
        <f>(Jobs[[#This Row],[power/t]]+Jobs[[#This Row],[Matrial/t]]+Jobs[[#This Row],[downturn/t]]+Jobs[[#This Row],[Maintenance/t]]+Jobs[[#This Row],[Coloring/t]]+Jobs[[#This Row],[Extras]])*Settings!$D$12</f>
        <v>12902.803199999997</v>
      </c>
      <c r="S39" s="2">
        <f>Jobs[[#This Row],[Matrial/t]] + Jobs[[#This Row],[power/t]] + Jobs[[#This Row],[downturn/t]] + Jobs[[#This Row],[Maintenance/t]] + Jobs[[#This Row],[Coloring/t]] + Jobs[[#This Row],[overhead/t]] + Jobs[[#This Row],[Extras]]</f>
        <v>55912.147199999985</v>
      </c>
      <c r="T39" s="2">
        <f>S39*(1+Settings!$D$5)</f>
        <v>167736.44159999996</v>
      </c>
      <c r="U39" s="2">
        <f>Jobs[[#This Row],[Sugested Price/t]] - Jobs[[#This Row],[base price/t]]</f>
        <v>111824.29439999998</v>
      </c>
      <c r="V39" s="3">
        <f>IFERROR(Jobs[[#This Row],[Gross margin/t]] / Jobs[[#This Row],[base price/t]], 0)</f>
        <v>2.0000000000000004</v>
      </c>
      <c r="W39"/>
    </row>
    <row r="40" spans="1:23" x14ac:dyDescent="0.25">
      <c r="B40" s="18" t="s">
        <v>297</v>
      </c>
      <c r="C40" s="18">
        <v>1</v>
      </c>
      <c r="D40" t="s">
        <v>129</v>
      </c>
      <c r="E40" t="s">
        <v>5</v>
      </c>
      <c r="F40" t="s">
        <v>30</v>
      </c>
      <c r="G40" s="1">
        <v>4</v>
      </c>
      <c r="J40" s="22">
        <v>1.4583333333333334E-2</v>
      </c>
      <c r="K40" s="22"/>
      <c r="L40" s="2"/>
      <c r="M40" s="2">
        <f>_xlfn.LET(
    _xlpm.qty, C40,
    _xlpm.weight_g, G40 + H40 + Jobs[[#This Row],[Flushed/g]],
    _xlpm.material, TRIM(E40),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10920</v>
      </c>
      <c r="N40" s="2">
        <f>_xlfn.LET(
    _xlpm.qty, C40,
    _xlpm.hours, J40*24,
    _xlpm.power_w, _xlfn.XLOOKUP(TRIM(D40), Settings!$F$4:$F$101, Settings!$G$4:$G$101, 120),
    _xlpm.rate, Settings!$D$4,
    _xlpm.qty * _xlpm.hours * (_xlpm.power_w / 1000) * _xlpm.rate
)</f>
        <v>34.103999999999999</v>
      </c>
      <c r="O40" s="2">
        <f>_xlfn.LET(
    _xlpm.qty, C40,
    _xlpm.hours, J40*24,
    _xlpm.price, _xlfn.XLOOKUP(TRIM(D40), Settings!$F$4:$F$101, Settings!$H$4:$H$101, 0),
    _xlpm.life, _xlfn.XLOOKUP(TRIM(D40), Settings!$F$4:$F$101, Settings!$I$4:$I$101, 1),
    _xlpm.qty * _xlpm.hours * (_xlpm.price / _xlpm.life)
)</f>
        <v>6580</v>
      </c>
      <c r="P40" s="2">
        <f>_xlfn.LET(
    _xlpm.qty, C40,
    _xlpm.hours, J40*24,
    _xlpm.price, _xlfn.XLOOKUP(TRIM(D40), Settings!$F$4:$F$101, Settings!$H$4:$H$101, 0),
    _xlpm.life, _xlfn.XLOOKUP(TRIM(D40), Settings!$F$4:$F$101, Settings!$I$4:$I$101, 1),
    _xlpm.pct, _xlfn.XLOOKUP(TRIM(D40), Settings!$F$4:$F$101, Settings!$J$4:$J$101, 0),
    _xlpm.qty * _xlpm.hours * (_xlpm.price / _xlpm.life * _xlpm.pct)
)</f>
        <v>329</v>
      </c>
      <c r="Q40" s="2">
        <f>Jobs[[#This Row],[Post Pro/h]]*Settings!$D$18</f>
        <v>0</v>
      </c>
      <c r="R40" s="2">
        <f>(Jobs[[#This Row],[power/t]]+Jobs[[#This Row],[Matrial/t]]+Jobs[[#This Row],[downturn/t]]+Jobs[[#This Row],[Maintenance/t]]+Jobs[[#This Row],[Coloring/t]]+Jobs[[#This Row],[Extras]])*Settings!$D$12</f>
        <v>5358.9312</v>
      </c>
      <c r="S40" s="2">
        <f>Jobs[[#This Row],[Matrial/t]] + Jobs[[#This Row],[power/t]] + Jobs[[#This Row],[downturn/t]] + Jobs[[#This Row],[Maintenance/t]] + Jobs[[#This Row],[Coloring/t]] + Jobs[[#This Row],[overhead/t]] + Jobs[[#This Row],[Extras]]</f>
        <v>23222.035199999998</v>
      </c>
      <c r="T40" s="2">
        <f>S40*(1+Settings!$D$5)</f>
        <v>69666.105599999995</v>
      </c>
      <c r="U40" s="2">
        <f>Jobs[[#This Row],[Sugested Price/t]] - Jobs[[#This Row],[base price/t]]</f>
        <v>46444.070399999997</v>
      </c>
      <c r="V40" s="3">
        <f>IFERROR(Jobs[[#This Row],[Gross margin/t]] / Jobs[[#This Row],[base price/t]], 0)</f>
        <v>2</v>
      </c>
      <c r="W40"/>
    </row>
    <row r="41" spans="1:23" x14ac:dyDescent="0.25">
      <c r="B41" s="18" t="s">
        <v>298</v>
      </c>
      <c r="C41" s="18">
        <v>1</v>
      </c>
      <c r="D41" t="s">
        <v>129</v>
      </c>
      <c r="E41" t="s">
        <v>5</v>
      </c>
      <c r="F41" t="s">
        <v>31</v>
      </c>
      <c r="G41" s="1">
        <v>10</v>
      </c>
      <c r="J41" s="22">
        <v>3.2638888888888891E-2</v>
      </c>
      <c r="K41" s="22"/>
      <c r="L41" s="2"/>
      <c r="M41" s="2">
        <f>_xlfn.LET(
    _xlpm.qty, C41,
    _xlpm.weight_g, G41 + H41 + Jobs[[#This Row],[Flushed/g]],
    _xlpm.material, TRIM(E41),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27300</v>
      </c>
      <c r="N41" s="2">
        <f>_xlfn.LET(
    _xlpm.qty, C41,
    _xlpm.hours, J41*24,
    _xlpm.power_w, _xlfn.XLOOKUP(TRIM(D41), Settings!$F$4:$F$101, Settings!$G$4:$G$101, 120),
    _xlpm.rate, Settings!$D$4,
    _xlpm.qty * _xlpm.hours * (_xlpm.power_w / 1000) * _xlpm.rate
)</f>
        <v>76.328000000000017</v>
      </c>
      <c r="O41" s="2">
        <f>_xlfn.LET(
    _xlpm.qty, C41,
    _xlpm.hours, J41*24,
    _xlpm.price, _xlfn.XLOOKUP(TRIM(D41), Settings!$F$4:$F$101, Settings!$H$4:$H$101, 0),
    _xlpm.life, _xlfn.XLOOKUP(TRIM(D41), Settings!$F$4:$F$101, Settings!$I$4:$I$101, 1),
    _xlpm.qty * _xlpm.hours * (_xlpm.price / _xlpm.life)
)</f>
        <v>14726.666666666668</v>
      </c>
      <c r="P41" s="2">
        <f>_xlfn.LET(
    _xlpm.qty, C41,
    _xlpm.hours, J41*24,
    _xlpm.price, _xlfn.XLOOKUP(TRIM(D41), Settings!$F$4:$F$101, Settings!$H$4:$H$101, 0),
    _xlpm.life, _xlfn.XLOOKUP(TRIM(D41), Settings!$F$4:$F$101, Settings!$I$4:$I$101, 1),
    _xlpm.pct, _xlfn.XLOOKUP(TRIM(D41), Settings!$F$4:$F$101, Settings!$J$4:$J$101, 0),
    _xlpm.qty * _xlpm.hours * (_xlpm.price / _xlpm.life * _xlpm.pct)
)</f>
        <v>736.33333333333348</v>
      </c>
      <c r="Q41" s="2">
        <f>Jobs[[#This Row],[Post Pro/h]]*Settings!$D$18</f>
        <v>0</v>
      </c>
      <c r="R41" s="2">
        <f>(Jobs[[#This Row],[power/t]]+Jobs[[#This Row],[Matrial/t]]+Jobs[[#This Row],[downturn/t]]+Jobs[[#This Row],[Maintenance/t]]+Jobs[[#This Row],[Coloring/t]]+Jobs[[#This Row],[Extras]])*Settings!$D$12</f>
        <v>12851.7984</v>
      </c>
      <c r="S41" s="2">
        <f>Jobs[[#This Row],[Matrial/t]] + Jobs[[#This Row],[power/t]] + Jobs[[#This Row],[downturn/t]] + Jobs[[#This Row],[Maintenance/t]] + Jobs[[#This Row],[Coloring/t]] + Jobs[[#This Row],[overhead/t]] + Jobs[[#This Row],[Extras]]</f>
        <v>55691.126400000001</v>
      </c>
      <c r="T41" s="2">
        <f>S41*(1+Settings!$D$5)</f>
        <v>167073.3792</v>
      </c>
      <c r="U41" s="2">
        <f>Jobs[[#This Row],[Sugested Price/t]] - Jobs[[#This Row],[base price/t]]</f>
        <v>111382.25279999999</v>
      </c>
      <c r="V41" s="3">
        <f>IFERROR(Jobs[[#This Row],[Gross margin/t]] / Jobs[[#This Row],[base price/t]], 0)</f>
        <v>1.9999999999999998</v>
      </c>
      <c r="W41"/>
    </row>
    <row r="42" spans="1:23" x14ac:dyDescent="0.25">
      <c r="B42" s="18" t="s">
        <v>299</v>
      </c>
      <c r="C42" s="18">
        <v>1</v>
      </c>
      <c r="D42" t="s">
        <v>129</v>
      </c>
      <c r="E42" t="s">
        <v>5</v>
      </c>
      <c r="F42" t="s">
        <v>93</v>
      </c>
      <c r="G42" s="1">
        <v>4</v>
      </c>
      <c r="J42" s="22">
        <v>1.5972222222222221E-2</v>
      </c>
      <c r="K42" s="22"/>
      <c r="L42" s="2"/>
      <c r="M42" s="2">
        <f>_xlfn.LET(
    _xlpm.qty, C42,
    _xlpm.weight_g, G42 + H42 + Jobs[[#This Row],[Flushed/g]],
    _xlpm.material, TRIM(E42),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10920</v>
      </c>
      <c r="N42" s="2">
        <f>_xlfn.LET(
    _xlpm.qty, C42,
    _xlpm.hours, J42*24,
    _xlpm.power_w, _xlfn.XLOOKUP(TRIM(D42), Settings!$F$4:$F$101, Settings!$G$4:$G$101, 120),
    _xlpm.rate, Settings!$D$4,
    _xlpm.qty * _xlpm.hours * (_xlpm.power_w / 1000) * _xlpm.rate
)</f>
        <v>37.351999999999997</v>
      </c>
      <c r="O42" s="2">
        <f>_xlfn.LET(
    _xlpm.qty, C42,
    _xlpm.hours, J42*24,
    _xlpm.price, _xlfn.XLOOKUP(TRIM(D42), Settings!$F$4:$F$101, Settings!$H$4:$H$101, 0),
    _xlpm.life, _xlfn.XLOOKUP(TRIM(D42), Settings!$F$4:$F$101, Settings!$I$4:$I$101, 1),
    _xlpm.qty * _xlpm.hours * (_xlpm.price / _xlpm.life)
)</f>
        <v>7206.6666666666661</v>
      </c>
      <c r="P42" s="2">
        <f>_xlfn.LET(
    _xlpm.qty, C42,
    _xlpm.hours, J42*24,
    _xlpm.price, _xlfn.XLOOKUP(TRIM(D42), Settings!$F$4:$F$101, Settings!$H$4:$H$101, 0),
    _xlpm.life, _xlfn.XLOOKUP(TRIM(D42), Settings!$F$4:$F$101, Settings!$I$4:$I$101, 1),
    _xlpm.pct, _xlfn.XLOOKUP(TRIM(D42), Settings!$F$4:$F$101, Settings!$J$4:$J$101, 0),
    _xlpm.qty * _xlpm.hours * (_xlpm.price / _xlpm.life * _xlpm.pct)
)</f>
        <v>360.33333333333331</v>
      </c>
      <c r="Q42" s="2">
        <f>Jobs[[#This Row],[Post Pro/h]]*Settings!$D$18</f>
        <v>0</v>
      </c>
      <c r="R42" s="2">
        <f>(Jobs[[#This Row],[power/t]]+Jobs[[#This Row],[Matrial/t]]+Jobs[[#This Row],[downturn/t]]+Jobs[[#This Row],[Maintenance/t]]+Jobs[[#This Row],[Coloring/t]]+Jobs[[#This Row],[Extras]])*Settings!$D$12</f>
        <v>5557.3055999999997</v>
      </c>
      <c r="S42" s="2">
        <f>Jobs[[#This Row],[Matrial/t]] + Jobs[[#This Row],[power/t]] + Jobs[[#This Row],[downturn/t]] + Jobs[[#This Row],[Maintenance/t]] + Jobs[[#This Row],[Coloring/t]] + Jobs[[#This Row],[overhead/t]] + Jobs[[#This Row],[Extras]]</f>
        <v>24081.657599999999</v>
      </c>
      <c r="T42" s="2">
        <f>S42*(1+Settings!$D$5)</f>
        <v>72244.972799999989</v>
      </c>
      <c r="U42" s="2">
        <f>Jobs[[#This Row],[Sugested Price/t]] - Jobs[[#This Row],[base price/t]]</f>
        <v>48163.31519999999</v>
      </c>
      <c r="V42" s="3">
        <f>IFERROR(Jobs[[#This Row],[Gross margin/t]] / Jobs[[#This Row],[base price/t]], 0)</f>
        <v>1.9999999999999998</v>
      </c>
      <c r="W42"/>
    </row>
    <row r="43" spans="1:23" x14ac:dyDescent="0.25">
      <c r="B43" s="18" t="s">
        <v>300</v>
      </c>
      <c r="C43" s="18">
        <v>1</v>
      </c>
      <c r="D43" t="s">
        <v>129</v>
      </c>
      <c r="E43" t="s">
        <v>5</v>
      </c>
      <c r="F43" t="s">
        <v>32</v>
      </c>
      <c r="G43" s="1">
        <v>12</v>
      </c>
      <c r="J43" s="22">
        <v>5.8333333333333334E-2</v>
      </c>
      <c r="K43" s="22"/>
      <c r="L43" s="2"/>
      <c r="M43" s="2">
        <f>_xlfn.LET(
    _xlpm.qty, C43,
    _xlpm.weight_g, G43 + H43 + Jobs[[#This Row],[Flushed/g]],
    _xlpm.material, TRIM(E43),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32760</v>
      </c>
      <c r="N43" s="2">
        <f>_xlfn.LET(
    _xlpm.qty, C43,
    _xlpm.hours, J43*24,
    _xlpm.power_w, _xlfn.XLOOKUP(TRIM(D43), Settings!$F$4:$F$101, Settings!$G$4:$G$101, 120),
    _xlpm.rate, Settings!$D$4,
    _xlpm.qty * _xlpm.hours * (_xlpm.power_w / 1000) * _xlpm.rate
)</f>
        <v>136.416</v>
      </c>
      <c r="O43" s="2">
        <f>_xlfn.LET(
    _xlpm.qty, C43,
    _xlpm.hours, J43*24,
    _xlpm.price, _xlfn.XLOOKUP(TRIM(D43), Settings!$F$4:$F$101, Settings!$H$4:$H$101, 0),
    _xlpm.life, _xlfn.XLOOKUP(TRIM(D43), Settings!$F$4:$F$101, Settings!$I$4:$I$101, 1),
    _xlpm.qty * _xlpm.hours * (_xlpm.price / _xlpm.life)
)</f>
        <v>26320</v>
      </c>
      <c r="P43" s="2">
        <f>_xlfn.LET(
    _xlpm.qty, C43,
    _xlpm.hours, J43*24,
    _xlpm.price, _xlfn.XLOOKUP(TRIM(D43), Settings!$F$4:$F$101, Settings!$H$4:$H$101, 0),
    _xlpm.life, _xlfn.XLOOKUP(TRIM(D43), Settings!$F$4:$F$101, Settings!$I$4:$I$101, 1),
    _xlpm.pct, _xlfn.XLOOKUP(TRIM(D43), Settings!$F$4:$F$101, Settings!$J$4:$J$101, 0),
    _xlpm.qty * _xlpm.hours * (_xlpm.price / _xlpm.life * _xlpm.pct)
)</f>
        <v>1316</v>
      </c>
      <c r="Q43" s="2">
        <f>Jobs[[#This Row],[Post Pro/h]]*Settings!$D$18</f>
        <v>0</v>
      </c>
      <c r="R43" s="2">
        <f>(Jobs[[#This Row],[power/t]]+Jobs[[#This Row],[Matrial/t]]+Jobs[[#This Row],[downturn/t]]+Jobs[[#This Row],[Maintenance/t]]+Jobs[[#This Row],[Coloring/t]]+Jobs[[#This Row],[Extras]])*Settings!$D$12</f>
        <v>18159.7248</v>
      </c>
      <c r="S43" s="2">
        <f>Jobs[[#This Row],[Matrial/t]] + Jobs[[#This Row],[power/t]] + Jobs[[#This Row],[downturn/t]] + Jobs[[#This Row],[Maintenance/t]] + Jobs[[#This Row],[Coloring/t]] + Jobs[[#This Row],[overhead/t]] + Jobs[[#This Row],[Extras]]</f>
        <v>78692.140799999994</v>
      </c>
      <c r="T43" s="2">
        <f>S43*(1+Settings!$D$5)</f>
        <v>236076.42239999998</v>
      </c>
      <c r="U43" s="2">
        <f>Jobs[[#This Row],[Sugested Price/t]] - Jobs[[#This Row],[base price/t]]</f>
        <v>157384.28159999999</v>
      </c>
      <c r="V43" s="3">
        <f>IFERROR(Jobs[[#This Row],[Gross margin/t]] / Jobs[[#This Row],[base price/t]], 0)</f>
        <v>2</v>
      </c>
      <c r="W43"/>
    </row>
    <row r="44" spans="1:23" x14ac:dyDescent="0.25">
      <c r="B44" s="18" t="s">
        <v>301</v>
      </c>
      <c r="C44" s="18">
        <v>1</v>
      </c>
      <c r="D44" t="s">
        <v>129</v>
      </c>
      <c r="E44" t="s">
        <v>5</v>
      </c>
      <c r="F44" t="s">
        <v>32</v>
      </c>
      <c r="G44" s="1">
        <v>22</v>
      </c>
      <c r="J44" s="22">
        <v>5.5555555555555552E-2</v>
      </c>
      <c r="K44" s="22"/>
      <c r="L44" s="2"/>
      <c r="M44" s="2">
        <f>_xlfn.LET(
    _xlpm.qty, C44,
    _xlpm.weight_g, G44 + H44 + Jobs[[#This Row],[Flushed/g]],
    _xlpm.material, TRIM(E44),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60060</v>
      </c>
      <c r="N44" s="2">
        <f>_xlfn.LET(
    _xlpm.qty, C44,
    _xlpm.hours, J44*24,
    _xlpm.power_w, _xlfn.XLOOKUP(TRIM(D44), Settings!$F$4:$F$101, Settings!$G$4:$G$101, 120),
    _xlpm.rate, Settings!$D$4,
    _xlpm.qty * _xlpm.hours * (_xlpm.power_w / 1000) * _xlpm.rate
)</f>
        <v>129.91999999999999</v>
      </c>
      <c r="O44" s="2">
        <f>_xlfn.LET(
    _xlpm.qty, C44,
    _xlpm.hours, J44*24,
    _xlpm.price, _xlfn.XLOOKUP(TRIM(D44), Settings!$F$4:$F$101, Settings!$H$4:$H$101, 0),
    _xlpm.life, _xlfn.XLOOKUP(TRIM(D44), Settings!$F$4:$F$101, Settings!$I$4:$I$101, 1),
    _xlpm.qty * _xlpm.hours * (_xlpm.price / _xlpm.life)
)</f>
        <v>25066.666666666664</v>
      </c>
      <c r="P44" s="2">
        <f>_xlfn.LET(
    _xlpm.qty, C44,
    _xlpm.hours, J44*24,
    _xlpm.price, _xlfn.XLOOKUP(TRIM(D44), Settings!$F$4:$F$101, Settings!$H$4:$H$101, 0),
    _xlpm.life, _xlfn.XLOOKUP(TRIM(D44), Settings!$F$4:$F$101, Settings!$I$4:$I$101, 1),
    _xlpm.pct, _xlfn.XLOOKUP(TRIM(D44), Settings!$F$4:$F$101, Settings!$J$4:$J$101, 0),
    _xlpm.qty * _xlpm.hours * (_xlpm.price / _xlpm.life * _xlpm.pct)
)</f>
        <v>1253.3333333333333</v>
      </c>
      <c r="Q44" s="2">
        <f>Jobs[[#This Row],[Post Pro/h]]*Settings!$D$18</f>
        <v>0</v>
      </c>
      <c r="R44" s="2">
        <f>(Jobs[[#This Row],[power/t]]+Jobs[[#This Row],[Matrial/t]]+Jobs[[#This Row],[downturn/t]]+Jobs[[#This Row],[Maintenance/t]]+Jobs[[#This Row],[Coloring/t]]+Jobs[[#This Row],[Extras]])*Settings!$D$12</f>
        <v>25952.975999999999</v>
      </c>
      <c r="S44" s="2">
        <f>Jobs[[#This Row],[Matrial/t]] + Jobs[[#This Row],[power/t]] + Jobs[[#This Row],[downturn/t]] + Jobs[[#This Row],[Maintenance/t]] + Jobs[[#This Row],[Coloring/t]] + Jobs[[#This Row],[overhead/t]] + Jobs[[#This Row],[Extras]]</f>
        <v>112462.89599999999</v>
      </c>
      <c r="T44" s="2">
        <f>S44*(1+Settings!$D$5)</f>
        <v>337388.68799999997</v>
      </c>
      <c r="U44" s="2">
        <f>Jobs[[#This Row],[Sugested Price/t]] - Jobs[[#This Row],[base price/t]]</f>
        <v>224925.79199999996</v>
      </c>
      <c r="V44" s="3">
        <f>IFERROR(Jobs[[#This Row],[Gross margin/t]] / Jobs[[#This Row],[base price/t]], 0)</f>
        <v>1.9999999999999998</v>
      </c>
      <c r="W44"/>
    </row>
    <row r="45" spans="1:23" x14ac:dyDescent="0.25">
      <c r="B45" s="18" t="s">
        <v>302</v>
      </c>
      <c r="C45" s="18">
        <v>1</v>
      </c>
      <c r="D45" t="s">
        <v>129</v>
      </c>
      <c r="E45" t="s">
        <v>5</v>
      </c>
      <c r="F45" t="s">
        <v>32</v>
      </c>
      <c r="G45" s="1">
        <v>6</v>
      </c>
      <c r="J45" s="22">
        <v>1.4583333333333334E-2</v>
      </c>
      <c r="K45" s="22"/>
      <c r="L45" s="2"/>
      <c r="M45" s="2">
        <f>_xlfn.LET(
    _xlpm.qty, C45,
    _xlpm.weight_g, G45 + H45 + Jobs[[#This Row],[Flushed/g]],
    _xlpm.material, TRIM(E45),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16380</v>
      </c>
      <c r="N45" s="2">
        <f>_xlfn.LET(
    _xlpm.qty, C45,
    _xlpm.hours, J45*24,
    _xlpm.power_w, _xlfn.XLOOKUP(TRIM(D45), Settings!$F$4:$F$101, Settings!$G$4:$G$101, 120),
    _xlpm.rate, Settings!$D$4,
    _xlpm.qty * _xlpm.hours * (_xlpm.power_w / 1000) * _xlpm.rate
)</f>
        <v>34.103999999999999</v>
      </c>
      <c r="O45" s="2">
        <f>_xlfn.LET(
    _xlpm.qty, C45,
    _xlpm.hours, J45*24,
    _xlpm.price, _xlfn.XLOOKUP(TRIM(D45), Settings!$F$4:$F$101, Settings!$H$4:$H$101, 0),
    _xlpm.life, _xlfn.XLOOKUP(TRIM(D45), Settings!$F$4:$F$101, Settings!$I$4:$I$101, 1),
    _xlpm.qty * _xlpm.hours * (_xlpm.price / _xlpm.life)
)</f>
        <v>6580</v>
      </c>
      <c r="P45" s="2">
        <f>_xlfn.LET(
    _xlpm.qty, C45,
    _xlpm.hours, J45*24,
    _xlpm.price, _xlfn.XLOOKUP(TRIM(D45), Settings!$F$4:$F$101, Settings!$H$4:$H$101, 0),
    _xlpm.life, _xlfn.XLOOKUP(TRIM(D45), Settings!$F$4:$F$101, Settings!$I$4:$I$101, 1),
    _xlpm.pct, _xlfn.XLOOKUP(TRIM(D45), Settings!$F$4:$F$101, Settings!$J$4:$J$101, 0),
    _xlpm.qty * _xlpm.hours * (_xlpm.price / _xlpm.life * _xlpm.pct)
)</f>
        <v>329</v>
      </c>
      <c r="Q45" s="2">
        <f>Jobs[[#This Row],[Post Pro/h]]*Settings!$D$18</f>
        <v>0</v>
      </c>
      <c r="R45" s="2">
        <f>(Jobs[[#This Row],[power/t]]+Jobs[[#This Row],[Matrial/t]]+Jobs[[#This Row],[downturn/t]]+Jobs[[#This Row],[Maintenance/t]]+Jobs[[#This Row],[Coloring/t]]+Jobs[[#This Row],[Extras]])*Settings!$D$12</f>
        <v>6996.9312</v>
      </c>
      <c r="S45" s="2">
        <f>Jobs[[#This Row],[Matrial/t]] + Jobs[[#This Row],[power/t]] + Jobs[[#This Row],[downturn/t]] + Jobs[[#This Row],[Maintenance/t]] + Jobs[[#This Row],[Coloring/t]] + Jobs[[#This Row],[overhead/t]] + Jobs[[#This Row],[Extras]]</f>
        <v>30320.035199999998</v>
      </c>
      <c r="T45" s="2">
        <f>S45*(1+Settings!$D$5)</f>
        <v>90960.105599999995</v>
      </c>
      <c r="U45" s="2">
        <f>Jobs[[#This Row],[Sugested Price/t]] - Jobs[[#This Row],[base price/t]]</f>
        <v>60640.070399999997</v>
      </c>
      <c r="V45" s="3">
        <f>IFERROR(Jobs[[#This Row],[Gross margin/t]] / Jobs[[#This Row],[base price/t]], 0)</f>
        <v>2</v>
      </c>
      <c r="W45"/>
    </row>
    <row r="46" spans="1:23" x14ac:dyDescent="0.25">
      <c r="A46" t="s">
        <v>148</v>
      </c>
      <c r="B46" s="18" t="s">
        <v>309</v>
      </c>
      <c r="C46" s="18">
        <v>1</v>
      </c>
      <c r="D46" t="s">
        <v>129</v>
      </c>
      <c r="E46" t="s">
        <v>5</v>
      </c>
      <c r="F46" t="s">
        <v>32</v>
      </c>
      <c r="G46" s="1">
        <v>13</v>
      </c>
      <c r="J46" s="22">
        <v>2.4305555555555556E-2</v>
      </c>
      <c r="K46" s="22"/>
      <c r="L46" s="2"/>
      <c r="M46" s="2">
        <f>_xlfn.LET(
    _xlpm.qty, C46,
    _xlpm.weight_g, G46 + H46 + Jobs[[#This Row],[Flushed/g]],
    _xlpm.material, TRIM(E46),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35490</v>
      </c>
      <c r="N46" s="2">
        <f>_xlfn.LET(
    _xlpm.qty, C46,
    _xlpm.hours, J46*24,
    _xlpm.power_w, _xlfn.XLOOKUP(TRIM(D46), Settings!$F$4:$F$101, Settings!$G$4:$G$101, 120),
    _xlpm.rate, Settings!$D$4,
    _xlpm.qty * _xlpm.hours * (_xlpm.power_w / 1000) * _xlpm.rate
)</f>
        <v>56.84</v>
      </c>
      <c r="O46" s="2">
        <f>_xlfn.LET(
    _xlpm.qty, C46,
    _xlpm.hours, J46*24,
    _xlpm.price, _xlfn.XLOOKUP(TRIM(D46), Settings!$F$4:$F$101, Settings!$H$4:$H$101, 0),
    _xlpm.life, _xlfn.XLOOKUP(TRIM(D46), Settings!$F$4:$F$101, Settings!$I$4:$I$101, 1),
    _xlpm.qty * _xlpm.hours * (_xlpm.price / _xlpm.life)
)</f>
        <v>10966.666666666668</v>
      </c>
      <c r="P46" s="2">
        <f>_xlfn.LET(
    _xlpm.qty, C46,
    _xlpm.hours, J46*24,
    _xlpm.price, _xlfn.XLOOKUP(TRIM(D46), Settings!$F$4:$F$101, Settings!$H$4:$H$101, 0),
    _xlpm.life, _xlfn.XLOOKUP(TRIM(D46), Settings!$F$4:$F$101, Settings!$I$4:$I$101, 1),
    _xlpm.pct, _xlfn.XLOOKUP(TRIM(D46), Settings!$F$4:$F$101, Settings!$J$4:$J$101, 0),
    _xlpm.qty * _xlpm.hours * (_xlpm.price / _xlpm.life * _xlpm.pct)
)</f>
        <v>548.33333333333337</v>
      </c>
      <c r="Q46" s="2">
        <f>Jobs[[#This Row],[Post Pro/h]]*Settings!$D$18</f>
        <v>0</v>
      </c>
      <c r="R46" s="2">
        <f>(Jobs[[#This Row],[power/t]]+Jobs[[#This Row],[Matrial/t]]+Jobs[[#This Row],[downturn/t]]+Jobs[[#This Row],[Maintenance/t]]+Jobs[[#This Row],[Coloring/t]]+Jobs[[#This Row],[Extras]])*Settings!$D$12</f>
        <v>14118.552000000001</v>
      </c>
      <c r="S46" s="2">
        <f>Jobs[[#This Row],[Matrial/t]] + Jobs[[#This Row],[power/t]] + Jobs[[#This Row],[downturn/t]] + Jobs[[#This Row],[Maintenance/t]] + Jobs[[#This Row],[Coloring/t]] + Jobs[[#This Row],[overhead/t]] + Jobs[[#This Row],[Extras]]</f>
        <v>61180.392000000007</v>
      </c>
      <c r="T46" s="2">
        <f>S46*(1+Settings!$D$5)</f>
        <v>183541.17600000004</v>
      </c>
      <c r="U46" s="2">
        <f>Jobs[[#This Row],[Sugested Price/t]] - Jobs[[#This Row],[base price/t]]</f>
        <v>122360.78400000003</v>
      </c>
      <c r="V46" s="3">
        <f>IFERROR(Jobs[[#This Row],[Gross margin/t]] / Jobs[[#This Row],[base price/t]], 0)</f>
        <v>2.0000000000000004</v>
      </c>
      <c r="W46"/>
    </row>
    <row r="47" spans="1:23" x14ac:dyDescent="0.25">
      <c r="B47" s="18" t="s">
        <v>303</v>
      </c>
      <c r="C47" s="18">
        <v>1</v>
      </c>
      <c r="D47" t="s">
        <v>129</v>
      </c>
      <c r="E47" t="s">
        <v>5</v>
      </c>
      <c r="F47" t="s">
        <v>31</v>
      </c>
      <c r="G47" s="1">
        <v>29</v>
      </c>
      <c r="J47" s="22">
        <v>5.2083333333333336E-2</v>
      </c>
      <c r="K47" s="22"/>
      <c r="L47" s="2"/>
      <c r="M47" s="2">
        <f>_xlfn.LET(
    _xlpm.qty, C47,
    _xlpm.weight_g, G47 + H47 + Jobs[[#This Row],[Flushed/g]],
    _xlpm.material, TRIM(E47),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79170</v>
      </c>
      <c r="N47" s="2">
        <f>_xlfn.LET(
    _xlpm.qty, C47,
    _xlpm.hours, J47*24,
    _xlpm.power_w, _xlfn.XLOOKUP(TRIM(D47), Settings!$F$4:$F$101, Settings!$G$4:$G$101, 120),
    _xlpm.rate, Settings!$D$4,
    _xlpm.qty * _xlpm.hours * (_xlpm.power_w / 1000) * _xlpm.rate
)</f>
        <v>121.8</v>
      </c>
      <c r="O47" s="2">
        <f>_xlfn.LET(
    _xlpm.qty, C47,
    _xlpm.hours, J47*24,
    _xlpm.price, _xlfn.XLOOKUP(TRIM(D47), Settings!$F$4:$F$101, Settings!$H$4:$H$101, 0),
    _xlpm.life, _xlfn.XLOOKUP(TRIM(D47), Settings!$F$4:$F$101, Settings!$I$4:$I$101, 1),
    _xlpm.qty * _xlpm.hours * (_xlpm.price / _xlpm.life)
)</f>
        <v>23500</v>
      </c>
      <c r="P47" s="2">
        <f>_xlfn.LET(
    _xlpm.qty, C47,
    _xlpm.hours, J47*24,
    _xlpm.price, _xlfn.XLOOKUP(TRIM(D47), Settings!$F$4:$F$101, Settings!$H$4:$H$101, 0),
    _xlpm.life, _xlfn.XLOOKUP(TRIM(D47), Settings!$F$4:$F$101, Settings!$I$4:$I$101, 1),
    _xlpm.pct, _xlfn.XLOOKUP(TRIM(D47), Settings!$F$4:$F$101, Settings!$J$4:$J$101, 0),
    _xlpm.qty * _xlpm.hours * (_xlpm.price / _xlpm.life * _xlpm.pct)
)</f>
        <v>1175</v>
      </c>
      <c r="Q47" s="2">
        <f>Jobs[[#This Row],[Post Pro/h]]*Settings!$D$18</f>
        <v>0</v>
      </c>
      <c r="R47" s="2">
        <f>(Jobs[[#This Row],[power/t]]+Jobs[[#This Row],[Matrial/t]]+Jobs[[#This Row],[downturn/t]]+Jobs[[#This Row],[Maintenance/t]]+Jobs[[#This Row],[Coloring/t]]+Jobs[[#This Row],[Extras]])*Settings!$D$12</f>
        <v>31190.04</v>
      </c>
      <c r="S47" s="2">
        <f>Jobs[[#This Row],[Matrial/t]] + Jobs[[#This Row],[power/t]] + Jobs[[#This Row],[downturn/t]] + Jobs[[#This Row],[Maintenance/t]] + Jobs[[#This Row],[Coloring/t]] + Jobs[[#This Row],[overhead/t]] + Jobs[[#This Row],[Extras]]</f>
        <v>135156.84</v>
      </c>
      <c r="T47" s="2">
        <f>S47*(1+Settings!$D$5)</f>
        <v>405470.52</v>
      </c>
      <c r="U47" s="2">
        <f>Jobs[[#This Row],[Sugested Price/t]] - Jobs[[#This Row],[base price/t]]</f>
        <v>270313.68000000005</v>
      </c>
      <c r="V47" s="3">
        <f>IFERROR(Jobs[[#This Row],[Gross margin/t]] / Jobs[[#This Row],[base price/t]], 0)</f>
        <v>2.0000000000000004</v>
      </c>
      <c r="W47"/>
    </row>
    <row r="48" spans="1:23" x14ac:dyDescent="0.25">
      <c r="B48" s="18" t="s">
        <v>304</v>
      </c>
      <c r="C48" s="18">
        <v>1</v>
      </c>
      <c r="D48" t="s">
        <v>129</v>
      </c>
      <c r="E48" t="s">
        <v>5</v>
      </c>
      <c r="F48" t="s">
        <v>22</v>
      </c>
      <c r="G48" s="1">
        <v>32</v>
      </c>
      <c r="J48" s="22">
        <v>4.1666666666666664E-2</v>
      </c>
      <c r="L48" s="2"/>
      <c r="M48" s="2">
        <f>_xlfn.LET(
    _xlpm.qty, C48,
    _xlpm.weight_g, G48 + H48 + Jobs[[#This Row],[Flushed/g]],
    _xlpm.material, TRIM(E48),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87360</v>
      </c>
      <c r="N48" s="2">
        <f>_xlfn.LET(
    _xlpm.qty, C48,
    _xlpm.hours, J48*24,
    _xlpm.power_w, _xlfn.XLOOKUP(TRIM(D48), Settings!$F$4:$F$101, Settings!$G$4:$G$101, 120),
    _xlpm.rate, Settings!$D$4,
    _xlpm.qty * _xlpm.hours * (_xlpm.power_w / 1000) * _xlpm.rate
)</f>
        <v>97.44</v>
      </c>
      <c r="O48" s="2">
        <f>_xlfn.LET(
    _xlpm.qty, C48,
    _xlpm.hours, J48*24,
    _xlpm.price, _xlfn.XLOOKUP(TRIM(D48), Settings!$F$4:$F$101, Settings!$H$4:$H$101, 0),
    _xlpm.life, _xlfn.XLOOKUP(TRIM(D48), Settings!$F$4:$F$101, Settings!$I$4:$I$101, 1),
    _xlpm.qty * _xlpm.hours * (_xlpm.price / _xlpm.life)
)</f>
        <v>18800</v>
      </c>
      <c r="P48" s="2">
        <f>_xlfn.LET(
    _xlpm.qty, C48,
    _xlpm.hours, J48*24,
    _xlpm.price, _xlfn.XLOOKUP(TRIM(D48), Settings!$F$4:$F$101, Settings!$H$4:$H$101, 0),
    _xlpm.life, _xlfn.XLOOKUP(TRIM(D48), Settings!$F$4:$F$101, Settings!$I$4:$I$101, 1),
    _xlpm.pct, _xlfn.XLOOKUP(TRIM(D48), Settings!$F$4:$F$101, Settings!$J$4:$J$101, 0),
    _xlpm.qty * _xlpm.hours * (_xlpm.price / _xlpm.life * _xlpm.pct)
)</f>
        <v>940</v>
      </c>
      <c r="Q48" s="2">
        <f>Jobs[[#This Row],[Post Pro/h]]*Settings!$D$18</f>
        <v>0</v>
      </c>
      <c r="R48" s="2">
        <f>(Jobs[[#This Row],[power/t]]+Jobs[[#This Row],[Matrial/t]]+Jobs[[#This Row],[downturn/t]]+Jobs[[#This Row],[Maintenance/t]]+Jobs[[#This Row],[Coloring/t]]+Jobs[[#This Row],[Extras]])*Settings!$D$12</f>
        <v>32159.232</v>
      </c>
      <c r="S48" s="2">
        <f>Jobs[[#This Row],[Matrial/t]] + Jobs[[#This Row],[power/t]] + Jobs[[#This Row],[downturn/t]] + Jobs[[#This Row],[Maintenance/t]] + Jobs[[#This Row],[Coloring/t]] + Jobs[[#This Row],[overhead/t]] + Jobs[[#This Row],[Extras]]</f>
        <v>139356.67199999999</v>
      </c>
      <c r="T48" s="2">
        <f>S48*(1+Settings!$D$5)</f>
        <v>418070.01599999995</v>
      </c>
      <c r="U48" s="2">
        <f>Jobs[[#This Row],[Sugested Price/t]] - Jobs[[#This Row],[base price/t]]</f>
        <v>278713.34399999992</v>
      </c>
      <c r="V48" s="3">
        <f>IFERROR(Jobs[[#This Row],[Gross margin/t]] / Jobs[[#This Row],[base price/t]], 0)</f>
        <v>1.9999999999999996</v>
      </c>
      <c r="W48"/>
    </row>
    <row r="49" spans="1:22" x14ac:dyDescent="0.25">
      <c r="B49" s="18" t="s">
        <v>305</v>
      </c>
      <c r="C49" s="18">
        <v>1</v>
      </c>
      <c r="D49" t="s">
        <v>129</v>
      </c>
      <c r="E49" t="s">
        <v>5</v>
      </c>
      <c r="F49" t="s">
        <v>22</v>
      </c>
      <c r="G49" s="1">
        <v>36</v>
      </c>
      <c r="J49" s="22">
        <v>7.4305555555555555E-2</v>
      </c>
      <c r="K49" s="22"/>
      <c r="L49" s="2"/>
      <c r="M49" s="2">
        <f>_xlfn.LET(
    _xlpm.qty, C49,
    _xlpm.weight_g, G49 + H49 + Jobs[[#This Row],[Flushed/g]],
    _xlpm.material, TRIM(E49),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98280</v>
      </c>
      <c r="N49" s="2">
        <f>_xlfn.LET(
    _xlpm.qty, C49,
    _xlpm.hours, J49*24,
    _xlpm.power_w, _xlfn.XLOOKUP(TRIM(D49), Settings!$F$4:$F$101, Settings!$G$4:$G$101, 120),
    _xlpm.rate, Settings!$D$4,
    _xlpm.qty * _xlpm.hours * (_xlpm.power_w / 1000) * _xlpm.rate
)</f>
        <v>173.76799999999997</v>
      </c>
      <c r="O49" s="2">
        <f>_xlfn.LET(
    _xlpm.qty, C49,
    _xlpm.hours, J49*24,
    _xlpm.price, _xlfn.XLOOKUP(TRIM(D49), Settings!$F$4:$F$101, Settings!$H$4:$H$101, 0),
    _xlpm.life, _xlfn.XLOOKUP(TRIM(D49), Settings!$F$4:$F$101, Settings!$I$4:$I$101, 1),
    _xlpm.qty * _xlpm.hours * (_xlpm.price / _xlpm.life)
)</f>
        <v>33526.666666666664</v>
      </c>
      <c r="P49" s="2">
        <f>_xlfn.LET(
    _xlpm.qty, C49,
    _xlpm.hours, J49*24,
    _xlpm.price, _xlfn.XLOOKUP(TRIM(D49), Settings!$F$4:$F$101, Settings!$H$4:$H$101, 0),
    _xlpm.life, _xlfn.XLOOKUP(TRIM(D49), Settings!$F$4:$F$101, Settings!$I$4:$I$101, 1),
    _xlpm.pct, _xlfn.XLOOKUP(TRIM(D49), Settings!$F$4:$F$101, Settings!$J$4:$J$101, 0),
    _xlpm.qty * _xlpm.hours * (_xlpm.price / _xlpm.life * _xlpm.pct)
)</f>
        <v>1676.3333333333333</v>
      </c>
      <c r="Q49" s="2">
        <f>Jobs[[#This Row],[Post Pro/h]]*Settings!$D$18</f>
        <v>0</v>
      </c>
      <c r="R49" s="2">
        <f>(Jobs[[#This Row],[power/t]]+Jobs[[#This Row],[Matrial/t]]+Jobs[[#This Row],[downturn/t]]+Jobs[[#This Row],[Maintenance/t]]+Jobs[[#This Row],[Coloring/t]]+Jobs[[#This Row],[Extras]])*Settings!$D$12</f>
        <v>40097.030400000003</v>
      </c>
      <c r="S49" s="2">
        <f>Jobs[[#This Row],[Matrial/t]] + Jobs[[#This Row],[power/t]] + Jobs[[#This Row],[downturn/t]] + Jobs[[#This Row],[Maintenance/t]] + Jobs[[#This Row],[Coloring/t]] + Jobs[[#This Row],[overhead/t]] + Jobs[[#This Row],[Extras]]</f>
        <v>173753.79840000003</v>
      </c>
      <c r="T49" s="2">
        <f>S49*(1+Settings!$D$5)</f>
        <v>521261.39520000009</v>
      </c>
      <c r="U49" s="2">
        <f>Jobs[[#This Row],[Sugested Price/t]] - Jobs[[#This Row],[base price/t]]</f>
        <v>347507.59680000006</v>
      </c>
      <c r="V49" s="3">
        <f>IFERROR(Jobs[[#This Row],[Gross margin/t]] / Jobs[[#This Row],[base price/t]], 0)</f>
        <v>2</v>
      </c>
    </row>
    <row r="50" spans="1:22" x14ac:dyDescent="0.25">
      <c r="B50" s="18" t="s">
        <v>306</v>
      </c>
      <c r="C50" s="18">
        <v>1</v>
      </c>
      <c r="D50" t="s">
        <v>129</v>
      </c>
      <c r="E50" t="s">
        <v>7</v>
      </c>
      <c r="F50" t="s">
        <v>22</v>
      </c>
      <c r="G50" s="1">
        <v>85</v>
      </c>
      <c r="J50" s="22">
        <v>0.10416666666666667</v>
      </c>
      <c r="K50" s="22"/>
      <c r="L50" s="2"/>
      <c r="M50" s="2">
        <f>_xlfn.LET(
    _xlpm.qty, C50,
    _xlpm.weight_g, G50 + H50 + Jobs[[#This Row],[Flushed/g]],
    _xlpm.material, TRIM(E50),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291040</v>
      </c>
      <c r="N50" s="2">
        <f>_xlfn.LET(
    _xlpm.qty, C50,
    _xlpm.hours, J50*24,
    _xlpm.power_w, _xlfn.XLOOKUP(TRIM(D50), Settings!$F$4:$F$101, Settings!$G$4:$G$101, 120),
    _xlpm.rate, Settings!$D$4,
    _xlpm.qty * _xlpm.hours * (_xlpm.power_w / 1000) * _xlpm.rate
)</f>
        <v>243.6</v>
      </c>
      <c r="O50" s="2">
        <f>_xlfn.LET(
    _xlpm.qty, C50,
    _xlpm.hours, J50*24,
    _xlpm.price, _xlfn.XLOOKUP(TRIM(D50), Settings!$F$4:$F$101, Settings!$H$4:$H$101, 0),
    _xlpm.life, _xlfn.XLOOKUP(TRIM(D50), Settings!$F$4:$F$101, Settings!$I$4:$I$101, 1),
    _xlpm.qty * _xlpm.hours * (_xlpm.price / _xlpm.life)
)</f>
        <v>47000</v>
      </c>
      <c r="P50" s="2">
        <f>_xlfn.LET(
    _xlpm.qty, C50,
    _xlpm.hours, J50*24,
    _xlpm.price, _xlfn.XLOOKUP(TRIM(D50), Settings!$F$4:$F$101, Settings!$H$4:$H$101, 0),
    _xlpm.life, _xlfn.XLOOKUP(TRIM(D50), Settings!$F$4:$F$101, Settings!$I$4:$I$101, 1),
    _xlpm.pct, _xlfn.XLOOKUP(TRIM(D50), Settings!$F$4:$F$101, Settings!$J$4:$J$101, 0),
    _xlpm.qty * _xlpm.hours * (_xlpm.price / _xlpm.life * _xlpm.pct)
)</f>
        <v>2350</v>
      </c>
      <c r="Q50" s="2">
        <f>Jobs[[#This Row],[Post Pro/h]]*Settings!$D$18</f>
        <v>0</v>
      </c>
      <c r="R50" s="2">
        <f>(Jobs[[#This Row],[power/t]]+Jobs[[#This Row],[Matrial/t]]+Jobs[[#This Row],[downturn/t]]+Jobs[[#This Row],[Maintenance/t]]+Jobs[[#This Row],[Coloring/t]]+Jobs[[#This Row],[Extras]])*Settings!$D$12</f>
        <v>102190.07999999999</v>
      </c>
      <c r="S50" s="2">
        <f>Jobs[[#This Row],[Matrial/t]] + Jobs[[#This Row],[power/t]] + Jobs[[#This Row],[downturn/t]] + Jobs[[#This Row],[Maintenance/t]] + Jobs[[#This Row],[Coloring/t]] + Jobs[[#This Row],[overhead/t]] + Jobs[[#This Row],[Extras]]</f>
        <v>442823.67999999993</v>
      </c>
      <c r="T50" s="2">
        <f>S50*(1+Settings!$D$5)</f>
        <v>1328471.0399999998</v>
      </c>
      <c r="U50" s="2">
        <f>Jobs[[#This Row],[Sugested Price/t]] - Jobs[[#This Row],[base price/t]]</f>
        <v>885647.35999999987</v>
      </c>
      <c r="V50" s="3">
        <f>IFERROR(Jobs[[#This Row],[Gross margin/t]] / Jobs[[#This Row],[base price/t]], 0)</f>
        <v>2</v>
      </c>
    </row>
    <row r="51" spans="1:22" x14ac:dyDescent="0.25">
      <c r="B51" s="18" t="s">
        <v>307</v>
      </c>
      <c r="C51" s="18">
        <v>1</v>
      </c>
      <c r="D51" t="s">
        <v>129</v>
      </c>
      <c r="E51" t="s">
        <v>5</v>
      </c>
      <c r="F51" t="s">
        <v>22</v>
      </c>
      <c r="G51" s="1">
        <v>114</v>
      </c>
      <c r="J51" s="22">
        <v>0.15277777777777779</v>
      </c>
      <c r="K51" s="22"/>
      <c r="L51" s="2"/>
      <c r="M51" s="2">
        <f>_xlfn.LET(
    _xlpm.qty, C51,
    _xlpm.weight_g, G51 + H51 + Jobs[[#This Row],[Flushed/g]],
    _xlpm.material, TRIM(E51),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311220</v>
      </c>
      <c r="N51" s="2">
        <f>_xlfn.LET(
    _xlpm.qty, C51,
    _xlpm.hours, J51*24,
    _xlpm.power_w, _xlfn.XLOOKUP(TRIM(D51), Settings!$F$4:$F$101, Settings!$G$4:$G$101, 120),
    _xlpm.rate, Settings!$D$4,
    _xlpm.qty * _xlpm.hours * (_xlpm.power_w / 1000) * _xlpm.rate
)</f>
        <v>357.28000000000003</v>
      </c>
      <c r="O51" s="2">
        <f>_xlfn.LET(
    _xlpm.qty, C51,
    _xlpm.hours, J51*24,
    _xlpm.price, _xlfn.XLOOKUP(TRIM(D51), Settings!$F$4:$F$101, Settings!$H$4:$H$101, 0),
    _xlpm.life, _xlfn.XLOOKUP(TRIM(D51), Settings!$F$4:$F$101, Settings!$I$4:$I$101, 1),
    _xlpm.qty * _xlpm.hours * (_xlpm.price / _xlpm.life)
)</f>
        <v>68933.333333333343</v>
      </c>
      <c r="P51" s="2">
        <f>_xlfn.LET(
    _xlpm.qty, C51,
    _xlpm.hours, J51*24,
    _xlpm.price, _xlfn.XLOOKUP(TRIM(D51), Settings!$F$4:$F$101, Settings!$H$4:$H$101, 0),
    _xlpm.life, _xlfn.XLOOKUP(TRIM(D51), Settings!$F$4:$F$101, Settings!$I$4:$I$101, 1),
    _xlpm.pct, _xlfn.XLOOKUP(TRIM(D51), Settings!$F$4:$F$101, Settings!$J$4:$J$101, 0),
    _xlpm.qty * _xlpm.hours * (_xlpm.price / _xlpm.life * _xlpm.pct)
)</f>
        <v>3446.666666666667</v>
      </c>
      <c r="Q51" s="2">
        <f>Jobs[[#This Row],[Post Pro/h]]*Settings!$D$18</f>
        <v>0</v>
      </c>
      <c r="R51" s="2">
        <f>(Jobs[[#This Row],[power/t]]+Jobs[[#This Row],[Matrial/t]]+Jobs[[#This Row],[downturn/t]]+Jobs[[#This Row],[Maintenance/t]]+Jobs[[#This Row],[Coloring/t]]+Jobs[[#This Row],[Extras]])*Settings!$D$12</f>
        <v>115187.18400000002</v>
      </c>
      <c r="S51" s="2">
        <f>Jobs[[#This Row],[Matrial/t]] + Jobs[[#This Row],[power/t]] + Jobs[[#This Row],[downturn/t]] + Jobs[[#This Row],[Maintenance/t]] + Jobs[[#This Row],[Coloring/t]] + Jobs[[#This Row],[overhead/t]] + Jobs[[#This Row],[Extras]]</f>
        <v>499144.46400000009</v>
      </c>
      <c r="T51" s="2">
        <f>S51*(1+Settings!$D$5)</f>
        <v>1497433.3920000002</v>
      </c>
      <c r="U51" s="2">
        <f>Jobs[[#This Row],[Sugested Price/t]] - Jobs[[#This Row],[base price/t]]</f>
        <v>998288.92800000007</v>
      </c>
      <c r="V51" s="3">
        <f>IFERROR(Jobs[[#This Row],[Gross margin/t]] / Jobs[[#This Row],[base price/t]], 0)</f>
        <v>1.9999999999999998</v>
      </c>
    </row>
    <row r="52" spans="1:22" x14ac:dyDescent="0.25">
      <c r="A52" t="s">
        <v>145</v>
      </c>
      <c r="B52" s="18" t="s">
        <v>310</v>
      </c>
      <c r="C52" s="18">
        <v>1</v>
      </c>
      <c r="D52" t="s">
        <v>129</v>
      </c>
      <c r="E52" t="s">
        <v>5</v>
      </c>
      <c r="F52" t="s">
        <v>22</v>
      </c>
      <c r="G52" s="1">
        <v>14</v>
      </c>
      <c r="J52" s="22">
        <v>4.8611111111111112E-2</v>
      </c>
      <c r="K52" s="22"/>
      <c r="L52" s="2"/>
      <c r="M52" s="2">
        <f>_xlfn.LET(
    _xlpm.qty, C52,
    _xlpm.weight_g, G52 + H52 + Jobs[[#This Row],[Flushed/g]],
    _xlpm.material, TRIM(E52),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38220</v>
      </c>
      <c r="N52" s="2">
        <f>_xlfn.LET(
    _xlpm.qty, C52,
    _xlpm.hours, J52*24,
    _xlpm.power_w, _xlfn.XLOOKUP(TRIM(D52), Settings!$F$4:$F$101, Settings!$G$4:$G$101, 120),
    _xlpm.rate, Settings!$D$4,
    _xlpm.qty * _xlpm.hours * (_xlpm.power_w / 1000) * _xlpm.rate
)</f>
        <v>113.68</v>
      </c>
      <c r="O52" s="2">
        <f>_xlfn.LET(
    _xlpm.qty, C52,
    _xlpm.hours, J52*24,
    _xlpm.price, _xlfn.XLOOKUP(TRIM(D52), Settings!$F$4:$F$101, Settings!$H$4:$H$101, 0),
    _xlpm.life, _xlfn.XLOOKUP(TRIM(D52), Settings!$F$4:$F$101, Settings!$I$4:$I$101, 1),
    _xlpm.qty * _xlpm.hours * (_xlpm.price / _xlpm.life)
)</f>
        <v>21933.333333333336</v>
      </c>
      <c r="P52" s="2">
        <f>_xlfn.LET(
    _xlpm.qty, C52,
    _xlpm.hours, J52*24,
    _xlpm.price, _xlfn.XLOOKUP(TRIM(D52), Settings!$F$4:$F$101, Settings!$H$4:$H$101, 0),
    _xlpm.life, _xlfn.XLOOKUP(TRIM(D52), Settings!$F$4:$F$101, Settings!$I$4:$I$101, 1),
    _xlpm.pct, _xlfn.XLOOKUP(TRIM(D52), Settings!$F$4:$F$101, Settings!$J$4:$J$101, 0),
    _xlpm.qty * _xlpm.hours * (_xlpm.price / _xlpm.life * _xlpm.pct)
)</f>
        <v>1096.6666666666667</v>
      </c>
      <c r="Q52" s="2">
        <f>Jobs[[#This Row],[Post Pro/h]]*Settings!$D$18</f>
        <v>0</v>
      </c>
      <c r="R52" s="2">
        <f>(Jobs[[#This Row],[power/t]]+Jobs[[#This Row],[Matrial/t]]+Jobs[[#This Row],[downturn/t]]+Jobs[[#This Row],[Maintenance/t]]+Jobs[[#This Row],[Coloring/t]]+Jobs[[#This Row],[Extras]])*Settings!$D$12</f>
        <v>18409.103999999999</v>
      </c>
      <c r="S52" s="2">
        <f>Jobs[[#This Row],[Matrial/t]] + Jobs[[#This Row],[power/t]] + Jobs[[#This Row],[downturn/t]] + Jobs[[#This Row],[Maintenance/t]] + Jobs[[#This Row],[Coloring/t]] + Jobs[[#This Row],[overhead/t]] + Jobs[[#This Row],[Extras]]</f>
        <v>79772.784</v>
      </c>
      <c r="T52" s="2">
        <f>S52*(1+Settings!$D$5)</f>
        <v>239318.35200000001</v>
      </c>
      <c r="U52" s="2">
        <f>Jobs[[#This Row],[Sugested Price/t]] - Jobs[[#This Row],[base price/t]]</f>
        <v>159545.56800000003</v>
      </c>
      <c r="V52" s="3">
        <f>IFERROR(Jobs[[#This Row],[Gross margin/t]] / Jobs[[#This Row],[base price/t]], 0)</f>
        <v>2.0000000000000004</v>
      </c>
    </row>
    <row r="53" spans="1:22" x14ac:dyDescent="0.25">
      <c r="A53" t="s">
        <v>147</v>
      </c>
      <c r="B53" s="18" t="s">
        <v>311</v>
      </c>
      <c r="C53" s="18">
        <v>1</v>
      </c>
      <c r="D53" t="s">
        <v>130</v>
      </c>
      <c r="E53" t="s">
        <v>5</v>
      </c>
      <c r="F53" t="s">
        <v>22</v>
      </c>
      <c r="G53" s="1">
        <v>10</v>
      </c>
      <c r="J53" s="22">
        <v>3.3333333333333333E-2</v>
      </c>
      <c r="K53" s="22"/>
      <c r="L53" s="2"/>
      <c r="M53" s="2">
        <f>_xlfn.LET(
    _xlpm.qty, C53,
    _xlpm.weight_g, G53 + H53 + Jobs[[#This Row],[Flushed/g]],
    _xlpm.material, TRIM(E53),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27300</v>
      </c>
      <c r="N53" s="2">
        <f>_xlfn.LET(
    _xlpm.qty, C53,
    _xlpm.hours, J53*24,
    _xlpm.power_w, _xlfn.XLOOKUP(TRIM(D53), Settings!$F$4:$F$101, Settings!$G$4:$G$101, 120),
    _xlpm.rate, Settings!$D$4,
    _xlpm.qty * _xlpm.hours * (_xlpm.power_w / 1000) * _xlpm.rate
)</f>
        <v>77.951999999999998</v>
      </c>
      <c r="O53" s="2">
        <f>_xlfn.LET(
    _xlpm.qty, C53,
    _xlpm.hours, J53*24,
    _xlpm.price, _xlfn.XLOOKUP(TRIM(D53), Settings!$F$4:$F$101, Settings!$H$4:$H$101, 0),
    _xlpm.life, _xlfn.XLOOKUP(TRIM(D53), Settings!$F$4:$F$101, Settings!$I$4:$I$101, 1),
    _xlpm.qty * _xlpm.hours * (_xlpm.price / _xlpm.life)
)</f>
        <v>12000</v>
      </c>
      <c r="P53" s="2">
        <f>_xlfn.LET(
    _xlpm.qty, C53,
    _xlpm.hours, J53*24,
    _xlpm.price, _xlfn.XLOOKUP(TRIM(D53), Settings!$F$4:$F$101, Settings!$H$4:$H$101, 0),
    _xlpm.life, _xlfn.XLOOKUP(TRIM(D53), Settings!$F$4:$F$101, Settings!$I$4:$I$101, 1),
    _xlpm.pct, _xlfn.XLOOKUP(TRIM(D53), Settings!$F$4:$F$101, Settings!$J$4:$J$101, 0),
    _xlpm.qty * _xlpm.hours * (_xlpm.price / _xlpm.life * _xlpm.pct)
)</f>
        <v>600</v>
      </c>
      <c r="Q53" s="2">
        <f>Jobs[[#This Row],[Post Pro/h]]*Settings!$D$18</f>
        <v>0</v>
      </c>
      <c r="R53" s="2">
        <f>(Jobs[[#This Row],[power/t]]+Jobs[[#This Row],[Matrial/t]]+Jobs[[#This Row],[downturn/t]]+Jobs[[#This Row],[Maintenance/t]]+Jobs[[#This Row],[Coloring/t]]+Jobs[[#This Row],[Extras]])*Settings!$D$12</f>
        <v>11993.385600000001</v>
      </c>
      <c r="S53" s="2">
        <f>Jobs[[#This Row],[Matrial/t]] + Jobs[[#This Row],[power/t]] + Jobs[[#This Row],[downturn/t]] + Jobs[[#This Row],[Maintenance/t]] + Jobs[[#This Row],[Coloring/t]] + Jobs[[#This Row],[overhead/t]] + Jobs[[#This Row],[Extras]]</f>
        <v>51971.337600000006</v>
      </c>
      <c r="T53" s="2">
        <f>S53*(1+Settings!$D$5)</f>
        <v>155914.01280000003</v>
      </c>
      <c r="U53" s="2">
        <f>Jobs[[#This Row],[Sugested Price/t]] - Jobs[[#This Row],[base price/t]]</f>
        <v>103942.67520000003</v>
      </c>
      <c r="V53" s="3">
        <f>IFERROR(Jobs[[#This Row],[Gross margin/t]] / Jobs[[#This Row],[base price/t]], 0)</f>
        <v>2.0000000000000004</v>
      </c>
    </row>
    <row r="54" spans="1:22" x14ac:dyDescent="0.25">
      <c r="A54" t="s">
        <v>149</v>
      </c>
      <c r="B54" s="18" t="s">
        <v>312</v>
      </c>
      <c r="C54" s="18">
        <v>1</v>
      </c>
      <c r="D54" t="s">
        <v>130</v>
      </c>
      <c r="E54" t="s">
        <v>5</v>
      </c>
      <c r="F54" t="s">
        <v>22</v>
      </c>
      <c r="G54" s="1">
        <v>5</v>
      </c>
      <c r="J54" s="22">
        <v>1.3888888888888888E-2</v>
      </c>
      <c r="K54" s="22"/>
      <c r="L54" s="2"/>
      <c r="M54" s="2">
        <f>_xlfn.LET(
    _xlpm.qty, C54,
    _xlpm.weight_g, G54 + H54 + Jobs[[#This Row],[Flushed/g]],
    _xlpm.material, TRIM(E54),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13650</v>
      </c>
      <c r="N54" s="2">
        <f>_xlfn.LET(
    _xlpm.qty, C54,
    _xlpm.hours, J54*24,
    _xlpm.power_w, _xlfn.XLOOKUP(TRIM(D54), Settings!$F$4:$F$101, Settings!$G$4:$G$101, 120),
    _xlpm.rate, Settings!$D$4,
    _xlpm.qty * _xlpm.hours * (_xlpm.power_w / 1000) * _xlpm.rate
)</f>
        <v>32.479999999999997</v>
      </c>
      <c r="O54" s="2">
        <f>_xlfn.LET(
    _xlpm.qty, C54,
    _xlpm.hours, J54*24,
    _xlpm.price, _xlfn.XLOOKUP(TRIM(D54), Settings!$F$4:$F$101, Settings!$H$4:$H$101, 0),
    _xlpm.life, _xlfn.XLOOKUP(TRIM(D54), Settings!$F$4:$F$101, Settings!$I$4:$I$101, 1),
    _xlpm.qty * _xlpm.hours * (_xlpm.price / _xlpm.life)
)</f>
        <v>5000</v>
      </c>
      <c r="P54" s="2">
        <f>_xlfn.LET(
    _xlpm.qty, C54,
    _xlpm.hours, J54*24,
    _xlpm.price, _xlfn.XLOOKUP(TRIM(D54), Settings!$F$4:$F$101, Settings!$H$4:$H$101, 0),
    _xlpm.life, _xlfn.XLOOKUP(TRIM(D54), Settings!$F$4:$F$101, Settings!$I$4:$I$101, 1),
    _xlpm.pct, _xlfn.XLOOKUP(TRIM(D54), Settings!$F$4:$F$101, Settings!$J$4:$J$101, 0),
    _xlpm.qty * _xlpm.hours * (_xlpm.price / _xlpm.life * _xlpm.pct)
)</f>
        <v>250</v>
      </c>
      <c r="Q54" s="2">
        <f>Jobs[[#This Row],[Post Pro/h]]*Settings!$D$18</f>
        <v>0</v>
      </c>
      <c r="R54" s="2">
        <f>(Jobs[[#This Row],[power/t]]+Jobs[[#This Row],[Matrial/t]]+Jobs[[#This Row],[downturn/t]]+Jobs[[#This Row],[Maintenance/t]]+Jobs[[#This Row],[Coloring/t]]+Jobs[[#This Row],[Extras]])*Settings!$D$12</f>
        <v>5679.7439999999997</v>
      </c>
      <c r="S54" s="2">
        <f>Jobs[[#This Row],[Matrial/t]] + Jobs[[#This Row],[power/t]] + Jobs[[#This Row],[downturn/t]] + Jobs[[#This Row],[Maintenance/t]] + Jobs[[#This Row],[Coloring/t]] + Jobs[[#This Row],[overhead/t]] + Jobs[[#This Row],[Extras]]</f>
        <v>24612.223999999998</v>
      </c>
      <c r="T54" s="2">
        <f>S54*(1+Settings!$D$5)</f>
        <v>73836.671999999991</v>
      </c>
      <c r="U54" s="2">
        <f>Jobs[[#This Row],[Sugested Price/t]] - Jobs[[#This Row],[base price/t]]</f>
        <v>49224.447999999989</v>
      </c>
      <c r="V54" s="3">
        <f>IFERROR(Jobs[[#This Row],[Gross margin/t]] / Jobs[[#This Row],[base price/t]], 0)</f>
        <v>1.9999999999999998</v>
      </c>
    </row>
    <row r="55" spans="1:22" x14ac:dyDescent="0.25">
      <c r="A55" t="s">
        <v>150</v>
      </c>
      <c r="B55" s="18" t="s">
        <v>313</v>
      </c>
      <c r="C55" s="18">
        <v>1</v>
      </c>
      <c r="D55" t="s">
        <v>130</v>
      </c>
      <c r="E55" t="s">
        <v>5</v>
      </c>
      <c r="F55" t="s">
        <v>22</v>
      </c>
      <c r="G55" s="1">
        <v>7</v>
      </c>
      <c r="J55" s="22">
        <v>2.0833333333333332E-2</v>
      </c>
      <c r="K55" s="22"/>
      <c r="L55" s="2"/>
      <c r="M55" s="2">
        <f>_xlfn.LET(
    _xlpm.qty, C55,
    _xlpm.weight_g, G55 + H55 + Jobs[[#This Row],[Flushed/g]],
    _xlpm.material, TRIM(E55),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19110</v>
      </c>
      <c r="N55" s="2">
        <f>_xlfn.LET(
    _xlpm.qty, C55,
    _xlpm.hours, J55*24,
    _xlpm.power_w, _xlfn.XLOOKUP(TRIM(D55), Settings!$F$4:$F$101, Settings!$G$4:$G$101, 120),
    _xlpm.rate, Settings!$D$4,
    _xlpm.qty * _xlpm.hours * (_xlpm.power_w / 1000) * _xlpm.rate
)</f>
        <v>48.72</v>
      </c>
      <c r="O55" s="2">
        <f>_xlfn.LET(
    _xlpm.qty, C55,
    _xlpm.hours, J55*24,
    _xlpm.price, _xlfn.XLOOKUP(TRIM(D55), Settings!$F$4:$F$101, Settings!$H$4:$H$101, 0),
    _xlpm.life, _xlfn.XLOOKUP(TRIM(D55), Settings!$F$4:$F$101, Settings!$I$4:$I$101, 1),
    _xlpm.qty * _xlpm.hours * (_xlpm.price / _xlpm.life)
)</f>
        <v>7500</v>
      </c>
      <c r="P55" s="2">
        <f>_xlfn.LET(
    _xlpm.qty, C55,
    _xlpm.hours, J55*24,
    _xlpm.price, _xlfn.XLOOKUP(TRIM(D55), Settings!$F$4:$F$101, Settings!$H$4:$H$101, 0),
    _xlpm.life, _xlfn.XLOOKUP(TRIM(D55), Settings!$F$4:$F$101, Settings!$I$4:$I$101, 1),
    _xlpm.pct, _xlfn.XLOOKUP(TRIM(D55), Settings!$F$4:$F$101, Settings!$J$4:$J$101, 0),
    _xlpm.qty * _xlpm.hours * (_xlpm.price / _xlpm.life * _xlpm.pct)
)</f>
        <v>375</v>
      </c>
      <c r="Q55" s="2">
        <f>Jobs[[#This Row],[Post Pro/h]]*Settings!$D$18</f>
        <v>0</v>
      </c>
      <c r="R55" s="2">
        <f>(Jobs[[#This Row],[power/t]]+Jobs[[#This Row],[Matrial/t]]+Jobs[[#This Row],[downturn/t]]+Jobs[[#This Row],[Maintenance/t]]+Jobs[[#This Row],[Coloring/t]]+Jobs[[#This Row],[Extras]])*Settings!$D$12</f>
        <v>8110.116</v>
      </c>
      <c r="S55" s="2">
        <f>Jobs[[#This Row],[Matrial/t]] + Jobs[[#This Row],[power/t]] + Jobs[[#This Row],[downturn/t]] + Jobs[[#This Row],[Maintenance/t]] + Jobs[[#This Row],[Coloring/t]] + Jobs[[#This Row],[overhead/t]] + Jobs[[#This Row],[Extras]]</f>
        <v>35143.836000000003</v>
      </c>
      <c r="T55" s="2">
        <f>S55*(1+Settings!$D$5)</f>
        <v>105431.508</v>
      </c>
      <c r="U55" s="2">
        <f>Jobs[[#This Row],[Sugested Price/t]] - Jobs[[#This Row],[base price/t]]</f>
        <v>70287.671999999991</v>
      </c>
      <c r="V55" s="3">
        <f>IFERROR(Jobs[[#This Row],[Gross margin/t]] / Jobs[[#This Row],[base price/t]], 0)</f>
        <v>1.9999999999999996</v>
      </c>
    </row>
    <row r="56" spans="1:22" x14ac:dyDescent="0.25">
      <c r="A56" t="s">
        <v>151</v>
      </c>
      <c r="B56" s="18" t="s">
        <v>314</v>
      </c>
      <c r="C56" s="18">
        <v>1</v>
      </c>
      <c r="D56" t="s">
        <v>130</v>
      </c>
      <c r="E56" t="s">
        <v>5</v>
      </c>
      <c r="F56" t="s">
        <v>22</v>
      </c>
      <c r="G56" s="1">
        <v>60</v>
      </c>
      <c r="J56" s="22">
        <v>0.1111111111111111</v>
      </c>
      <c r="K56" s="22"/>
      <c r="L56" s="2"/>
      <c r="M56" s="2">
        <f>_xlfn.LET(
    _xlpm.qty, C56,
    _xlpm.weight_g, G56 + H56 + Jobs[[#This Row],[Flushed/g]],
    _xlpm.material, TRIM(E56),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163800</v>
      </c>
      <c r="N56" s="2">
        <f>_xlfn.LET(
    _xlpm.qty, C56,
    _xlpm.hours, J56*24,
    _xlpm.power_w, _xlfn.XLOOKUP(TRIM(D56), Settings!$F$4:$F$101, Settings!$G$4:$G$101, 120),
    _xlpm.rate, Settings!$D$4,
    _xlpm.qty * _xlpm.hours * (_xlpm.power_w / 1000) * _xlpm.rate
)</f>
        <v>259.83999999999997</v>
      </c>
      <c r="O56" s="2">
        <f>_xlfn.LET(
    _xlpm.qty, C56,
    _xlpm.hours, J56*24,
    _xlpm.price, _xlfn.XLOOKUP(TRIM(D56), Settings!$F$4:$F$101, Settings!$H$4:$H$101, 0),
    _xlpm.life, _xlfn.XLOOKUP(TRIM(D56), Settings!$F$4:$F$101, Settings!$I$4:$I$101, 1),
    _xlpm.qty * _xlpm.hours * (_xlpm.price / _xlpm.life)
)</f>
        <v>40000</v>
      </c>
      <c r="P56" s="2">
        <f>_xlfn.LET(
    _xlpm.qty, C56,
    _xlpm.hours, J56*24,
    _xlpm.price, _xlfn.XLOOKUP(TRIM(D56), Settings!$F$4:$F$101, Settings!$H$4:$H$101, 0),
    _xlpm.life, _xlfn.XLOOKUP(TRIM(D56), Settings!$F$4:$F$101, Settings!$I$4:$I$101, 1),
    _xlpm.pct, _xlfn.XLOOKUP(TRIM(D56), Settings!$F$4:$F$101, Settings!$J$4:$J$101, 0),
    _xlpm.qty * _xlpm.hours * (_xlpm.price / _xlpm.life * _xlpm.pct)
)</f>
        <v>2000</v>
      </c>
      <c r="Q56" s="2">
        <f>Jobs[[#This Row],[Post Pro/h]]*Settings!$D$18</f>
        <v>0</v>
      </c>
      <c r="R56" s="2">
        <f>(Jobs[[#This Row],[power/t]]+Jobs[[#This Row],[Matrial/t]]+Jobs[[#This Row],[downturn/t]]+Jobs[[#This Row],[Maintenance/t]]+Jobs[[#This Row],[Coloring/t]]+Jobs[[#This Row],[Extras]])*Settings!$D$12</f>
        <v>61817.951999999997</v>
      </c>
      <c r="S56" s="2">
        <f>Jobs[[#This Row],[Matrial/t]] + Jobs[[#This Row],[power/t]] + Jobs[[#This Row],[downturn/t]] + Jobs[[#This Row],[Maintenance/t]] + Jobs[[#This Row],[Coloring/t]] + Jobs[[#This Row],[overhead/t]] + Jobs[[#This Row],[Extras]]</f>
        <v>267877.79200000002</v>
      </c>
      <c r="T56" s="2">
        <f>S56*(1+Settings!$D$5)</f>
        <v>803633.37600000005</v>
      </c>
      <c r="U56" s="2">
        <f>Jobs[[#This Row],[Sugested Price/t]] - Jobs[[#This Row],[base price/t]]</f>
        <v>535755.58400000003</v>
      </c>
      <c r="V56" s="3">
        <f>IFERROR(Jobs[[#This Row],[Gross margin/t]] / Jobs[[#This Row],[base price/t]], 0)</f>
        <v>2</v>
      </c>
    </row>
    <row r="57" spans="1:22" x14ac:dyDescent="0.25">
      <c r="A57" t="s">
        <v>152</v>
      </c>
      <c r="B57" s="18" t="s">
        <v>315</v>
      </c>
      <c r="C57" s="18">
        <v>1</v>
      </c>
      <c r="D57" t="s">
        <v>130</v>
      </c>
      <c r="E57" t="s">
        <v>5</v>
      </c>
      <c r="F57" t="s">
        <v>22</v>
      </c>
      <c r="G57" s="1">
        <v>27</v>
      </c>
      <c r="J57" s="22">
        <v>6.25E-2</v>
      </c>
      <c r="K57" s="22"/>
      <c r="L57" s="2"/>
      <c r="M57" s="2">
        <f>_xlfn.LET(
    _xlpm.qty, C57,
    _xlpm.weight_g, G57 + H57 + Jobs[[#This Row],[Flushed/g]],
    _xlpm.material, TRIM(E57),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73710</v>
      </c>
      <c r="N57" s="2">
        <f>_xlfn.LET(
    _xlpm.qty, C57,
    _xlpm.hours, J57*24,
    _xlpm.power_w, _xlfn.XLOOKUP(TRIM(D57), Settings!$F$4:$F$101, Settings!$G$4:$G$101, 120),
    _xlpm.rate, Settings!$D$4,
    _xlpm.qty * _xlpm.hours * (_xlpm.power_w / 1000) * _xlpm.rate
)</f>
        <v>146.16</v>
      </c>
      <c r="O57" s="2">
        <f>_xlfn.LET(
    _xlpm.qty, C57,
    _xlpm.hours, J57*24,
    _xlpm.price, _xlfn.XLOOKUP(TRIM(D57), Settings!$F$4:$F$101, Settings!$H$4:$H$101, 0),
    _xlpm.life, _xlfn.XLOOKUP(TRIM(D57), Settings!$F$4:$F$101, Settings!$I$4:$I$101, 1),
    _xlpm.qty * _xlpm.hours * (_xlpm.price / _xlpm.life)
)</f>
        <v>22500</v>
      </c>
      <c r="P57" s="2">
        <f>_xlfn.LET(
    _xlpm.qty, C57,
    _xlpm.hours, J57*24,
    _xlpm.price, _xlfn.XLOOKUP(TRIM(D57), Settings!$F$4:$F$101, Settings!$H$4:$H$101, 0),
    _xlpm.life, _xlfn.XLOOKUP(TRIM(D57), Settings!$F$4:$F$101, Settings!$I$4:$I$101, 1),
    _xlpm.pct, _xlfn.XLOOKUP(TRIM(D57), Settings!$F$4:$F$101, Settings!$J$4:$J$101, 0),
    _xlpm.qty * _xlpm.hours * (_xlpm.price / _xlpm.life * _xlpm.pct)
)</f>
        <v>1125</v>
      </c>
      <c r="Q57" s="2">
        <f>Jobs[[#This Row],[Post Pro/h]]*Settings!$D$18</f>
        <v>0</v>
      </c>
      <c r="R57" s="2">
        <f>(Jobs[[#This Row],[power/t]]+Jobs[[#This Row],[Matrial/t]]+Jobs[[#This Row],[downturn/t]]+Jobs[[#This Row],[Maintenance/t]]+Jobs[[#This Row],[Coloring/t]]+Jobs[[#This Row],[Extras]])*Settings!$D$12</f>
        <v>29244.348000000002</v>
      </c>
      <c r="S57" s="2">
        <f>Jobs[[#This Row],[Matrial/t]] + Jobs[[#This Row],[power/t]] + Jobs[[#This Row],[downturn/t]] + Jobs[[#This Row],[Maintenance/t]] + Jobs[[#This Row],[Coloring/t]] + Jobs[[#This Row],[overhead/t]] + Jobs[[#This Row],[Extras]]</f>
        <v>126725.508</v>
      </c>
      <c r="T57" s="2">
        <f>S57*(1+Settings!$D$5)</f>
        <v>380176.52399999998</v>
      </c>
      <c r="U57" s="2">
        <f>Jobs[[#This Row],[Sugested Price/t]] - Jobs[[#This Row],[base price/t]]</f>
        <v>253451.01599999997</v>
      </c>
      <c r="V57" s="3">
        <f>IFERROR(Jobs[[#This Row],[Gross margin/t]] / Jobs[[#This Row],[base price/t]], 0)</f>
        <v>1.9999999999999998</v>
      </c>
    </row>
    <row r="58" spans="1:22" x14ac:dyDescent="0.25">
      <c r="A58" t="s">
        <v>153</v>
      </c>
      <c r="B58" s="18" t="s">
        <v>316</v>
      </c>
      <c r="C58" s="18">
        <v>1</v>
      </c>
      <c r="D58" t="s">
        <v>130</v>
      </c>
      <c r="E58" t="s">
        <v>5</v>
      </c>
      <c r="F58" t="s">
        <v>22</v>
      </c>
      <c r="G58" s="1">
        <v>27</v>
      </c>
      <c r="J58" s="22">
        <v>4.5138888888888888E-2</v>
      </c>
      <c r="K58" s="22"/>
      <c r="L58" s="2"/>
      <c r="M58" s="2">
        <f>_xlfn.LET(
    _xlpm.qty, C58,
    _xlpm.weight_g, G58 + H58 + Jobs[[#This Row],[Flushed/g]],
    _xlpm.material, TRIM(E58),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73710</v>
      </c>
      <c r="N58" s="2">
        <f>_xlfn.LET(
    _xlpm.qty, C58,
    _xlpm.hours, J58*24,
    _xlpm.power_w, _xlfn.XLOOKUP(TRIM(D58), Settings!$F$4:$F$101, Settings!$G$4:$G$101, 120),
    _xlpm.rate, Settings!$D$4,
    _xlpm.qty * _xlpm.hours * (_xlpm.power_w / 1000) * _xlpm.rate
)</f>
        <v>105.55999999999999</v>
      </c>
      <c r="O58" s="2">
        <f>_xlfn.LET(
    _xlpm.qty, C58,
    _xlpm.hours, J58*24,
    _xlpm.price, _xlfn.XLOOKUP(TRIM(D58), Settings!$F$4:$F$101, Settings!$H$4:$H$101, 0),
    _xlpm.life, _xlfn.XLOOKUP(TRIM(D58), Settings!$F$4:$F$101, Settings!$I$4:$I$101, 1),
    _xlpm.qty * _xlpm.hours * (_xlpm.price / _xlpm.life)
)</f>
        <v>16249.999999999998</v>
      </c>
      <c r="P58" s="2">
        <f>_xlfn.LET(
    _xlpm.qty, C58,
    _xlpm.hours, J58*24,
    _xlpm.price, _xlfn.XLOOKUP(TRIM(D58), Settings!$F$4:$F$101, Settings!$H$4:$H$101, 0),
    _xlpm.life, _xlfn.XLOOKUP(TRIM(D58), Settings!$F$4:$F$101, Settings!$I$4:$I$101, 1),
    _xlpm.pct, _xlfn.XLOOKUP(TRIM(D58), Settings!$F$4:$F$101, Settings!$J$4:$J$101, 0),
    _xlpm.qty * _xlpm.hours * (_xlpm.price / _xlpm.life * _xlpm.pct)
)</f>
        <v>812.5</v>
      </c>
      <c r="Q58" s="2">
        <f>Jobs[[#This Row],[Post Pro/h]]*Settings!$D$18</f>
        <v>0</v>
      </c>
      <c r="R58" s="2">
        <f>(Jobs[[#This Row],[power/t]]+Jobs[[#This Row],[Matrial/t]]+Jobs[[#This Row],[downturn/t]]+Jobs[[#This Row],[Maintenance/t]]+Jobs[[#This Row],[Coloring/t]]+Jobs[[#This Row],[Extras]])*Settings!$D$12</f>
        <v>27263.417999999998</v>
      </c>
      <c r="S58" s="2">
        <f>Jobs[[#This Row],[Matrial/t]] + Jobs[[#This Row],[power/t]] + Jobs[[#This Row],[downturn/t]] + Jobs[[#This Row],[Maintenance/t]] + Jobs[[#This Row],[Coloring/t]] + Jobs[[#This Row],[overhead/t]] + Jobs[[#This Row],[Extras]]</f>
        <v>118141.478</v>
      </c>
      <c r="T58" s="2">
        <f>S58*(1+Settings!$D$5)</f>
        <v>354424.43400000001</v>
      </c>
      <c r="U58" s="2">
        <f>Jobs[[#This Row],[Sugested Price/t]] - Jobs[[#This Row],[base price/t]]</f>
        <v>236282.95600000001</v>
      </c>
      <c r="V58" s="3">
        <f>IFERROR(Jobs[[#This Row],[Gross margin/t]] / Jobs[[#This Row],[base price/t]], 0)</f>
        <v>2</v>
      </c>
    </row>
    <row r="59" spans="1:22" x14ac:dyDescent="0.25">
      <c r="A59" t="s">
        <v>154</v>
      </c>
      <c r="B59" s="18" t="s">
        <v>317</v>
      </c>
      <c r="C59" s="18">
        <v>1</v>
      </c>
      <c r="D59" t="s">
        <v>130</v>
      </c>
      <c r="E59" t="s">
        <v>5</v>
      </c>
      <c r="F59" t="s">
        <v>22</v>
      </c>
      <c r="G59" s="1">
        <v>3</v>
      </c>
      <c r="J59" s="22">
        <v>1.7361111111111112E-2</v>
      </c>
      <c r="K59" s="22"/>
      <c r="L59" s="2"/>
      <c r="M59" s="2">
        <f>_xlfn.LET(
    _xlpm.qty, C59,
    _xlpm.weight_g, G59 + H59 + Jobs[[#This Row],[Flushed/g]],
    _xlpm.material, TRIM(E59),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8190</v>
      </c>
      <c r="N59" s="2">
        <f>_xlfn.LET(
    _xlpm.qty, C59,
    _xlpm.hours, J59*24,
    _xlpm.power_w, _xlfn.XLOOKUP(TRIM(D59), Settings!$F$4:$F$101, Settings!$G$4:$G$101, 120),
    _xlpm.rate, Settings!$D$4,
    _xlpm.qty * _xlpm.hours * (_xlpm.power_w / 1000) * _xlpm.rate
)</f>
        <v>40.6</v>
      </c>
      <c r="O59" s="2">
        <f>_xlfn.LET(
    _xlpm.qty, C59,
    _xlpm.hours, J59*24,
    _xlpm.price, _xlfn.XLOOKUP(TRIM(D59), Settings!$F$4:$F$101, Settings!$H$4:$H$101, 0),
    _xlpm.life, _xlfn.XLOOKUP(TRIM(D59), Settings!$F$4:$F$101, Settings!$I$4:$I$101, 1),
    _xlpm.qty * _xlpm.hours * (_xlpm.price / _xlpm.life)
)</f>
        <v>6250</v>
      </c>
      <c r="P59" s="2">
        <f>_xlfn.LET(
    _xlpm.qty, C59,
    _xlpm.hours, J59*24,
    _xlpm.price, _xlfn.XLOOKUP(TRIM(D59), Settings!$F$4:$F$101, Settings!$H$4:$H$101, 0),
    _xlpm.life, _xlfn.XLOOKUP(TRIM(D59), Settings!$F$4:$F$101, Settings!$I$4:$I$101, 1),
    _xlpm.pct, _xlfn.XLOOKUP(TRIM(D59), Settings!$F$4:$F$101, Settings!$J$4:$J$101, 0),
    _xlpm.qty * _xlpm.hours * (_xlpm.price / _xlpm.life * _xlpm.pct)
)</f>
        <v>312.5</v>
      </c>
      <c r="Q59" s="2">
        <f>Jobs[[#This Row],[Post Pro/h]]*Settings!$D$18</f>
        <v>0</v>
      </c>
      <c r="R59" s="2">
        <f>(Jobs[[#This Row],[power/t]]+Jobs[[#This Row],[Matrial/t]]+Jobs[[#This Row],[downturn/t]]+Jobs[[#This Row],[Maintenance/t]]+Jobs[[#This Row],[Coloring/t]]+Jobs[[#This Row],[Extras]])*Settings!$D$12</f>
        <v>4437.93</v>
      </c>
      <c r="S59" s="2">
        <f>Jobs[[#This Row],[Matrial/t]] + Jobs[[#This Row],[power/t]] + Jobs[[#This Row],[downturn/t]] + Jobs[[#This Row],[Maintenance/t]] + Jobs[[#This Row],[Coloring/t]] + Jobs[[#This Row],[overhead/t]] + Jobs[[#This Row],[Extras]]</f>
        <v>19231.03</v>
      </c>
      <c r="T59" s="2">
        <f>S59*(1+Settings!$D$5)</f>
        <v>57693.09</v>
      </c>
      <c r="U59" s="2">
        <f>Jobs[[#This Row],[Sugested Price/t]] - Jobs[[#This Row],[base price/t]]</f>
        <v>38462.06</v>
      </c>
      <c r="V59" s="3">
        <f>IFERROR(Jobs[[#This Row],[Gross margin/t]] / Jobs[[#This Row],[base price/t]], 0)</f>
        <v>2</v>
      </c>
    </row>
    <row r="60" spans="1:22" x14ac:dyDescent="0.25">
      <c r="A60" t="s">
        <v>155</v>
      </c>
      <c r="B60" s="18" t="s">
        <v>318</v>
      </c>
      <c r="C60" s="18">
        <v>1</v>
      </c>
      <c r="D60" t="s">
        <v>130</v>
      </c>
      <c r="E60" t="s">
        <v>5</v>
      </c>
      <c r="F60" t="s">
        <v>22</v>
      </c>
      <c r="G60" s="1">
        <v>15</v>
      </c>
      <c r="J60" s="22">
        <v>3.8194444444444448E-2</v>
      </c>
      <c r="K60" s="22"/>
      <c r="L60" s="2"/>
      <c r="M60" s="2">
        <f>_xlfn.LET(
    _xlpm.qty, C60,
    _xlpm.weight_g, G60 + H60 + Jobs[[#This Row],[Flushed/g]],
    _xlpm.material, TRIM(E60),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40950</v>
      </c>
      <c r="N60" s="2">
        <f>_xlfn.LET(
    _xlpm.qty, C60,
    _xlpm.hours, J60*24,
    _xlpm.power_w, _xlfn.XLOOKUP(TRIM(D60), Settings!$F$4:$F$101, Settings!$G$4:$G$101, 120),
    _xlpm.rate, Settings!$D$4,
    _xlpm.qty * _xlpm.hours * (_xlpm.power_w / 1000) * _xlpm.rate
)</f>
        <v>89.320000000000007</v>
      </c>
      <c r="O60" s="2">
        <f>_xlfn.LET(
    _xlpm.qty, C60,
    _xlpm.hours, J60*24,
    _xlpm.price, _xlfn.XLOOKUP(TRIM(D60), Settings!$F$4:$F$101, Settings!$H$4:$H$101, 0),
    _xlpm.life, _xlfn.XLOOKUP(TRIM(D60), Settings!$F$4:$F$101, Settings!$I$4:$I$101, 1),
    _xlpm.qty * _xlpm.hours * (_xlpm.price / _xlpm.life)
)</f>
        <v>13750.000000000002</v>
      </c>
      <c r="P60" s="2">
        <f>_xlfn.LET(
    _xlpm.qty, C60,
    _xlpm.hours, J60*24,
    _xlpm.price, _xlfn.XLOOKUP(TRIM(D60), Settings!$F$4:$F$101, Settings!$H$4:$H$101, 0),
    _xlpm.life, _xlfn.XLOOKUP(TRIM(D60), Settings!$F$4:$F$101, Settings!$I$4:$I$101, 1),
    _xlpm.pct, _xlfn.XLOOKUP(TRIM(D60), Settings!$F$4:$F$101, Settings!$J$4:$J$101, 0),
    _xlpm.qty * _xlpm.hours * (_xlpm.price / _xlpm.life * _xlpm.pct)
)</f>
        <v>687.5</v>
      </c>
      <c r="Q60" s="2">
        <f>Jobs[[#This Row],[Post Pro/h]]*Settings!$D$18</f>
        <v>0</v>
      </c>
      <c r="R60" s="2">
        <f>(Jobs[[#This Row],[power/t]]+Jobs[[#This Row],[Matrial/t]]+Jobs[[#This Row],[downturn/t]]+Jobs[[#This Row],[Maintenance/t]]+Jobs[[#This Row],[Coloring/t]]+Jobs[[#This Row],[Extras]])*Settings!$D$12</f>
        <v>16643.045999999998</v>
      </c>
      <c r="S60" s="2">
        <f>Jobs[[#This Row],[Matrial/t]] + Jobs[[#This Row],[power/t]] + Jobs[[#This Row],[downturn/t]] + Jobs[[#This Row],[Maintenance/t]] + Jobs[[#This Row],[Coloring/t]] + Jobs[[#This Row],[overhead/t]] + Jobs[[#This Row],[Extras]]</f>
        <v>72119.865999999995</v>
      </c>
      <c r="T60" s="2">
        <f>S60*(1+Settings!$D$5)</f>
        <v>216359.598</v>
      </c>
      <c r="U60" s="2">
        <f>Jobs[[#This Row],[Sugested Price/t]] - Jobs[[#This Row],[base price/t]]</f>
        <v>144239.73200000002</v>
      </c>
      <c r="V60" s="3">
        <f>IFERROR(Jobs[[#This Row],[Gross margin/t]] / Jobs[[#This Row],[base price/t]], 0)</f>
        <v>2.0000000000000004</v>
      </c>
    </row>
    <row r="61" spans="1:22" x14ac:dyDescent="0.25">
      <c r="A61" t="s">
        <v>156</v>
      </c>
      <c r="B61" s="18" t="s">
        <v>319</v>
      </c>
      <c r="C61" s="18">
        <v>1</v>
      </c>
      <c r="D61" t="s">
        <v>130</v>
      </c>
      <c r="E61" t="s">
        <v>5</v>
      </c>
      <c r="F61" t="s">
        <v>22</v>
      </c>
      <c r="G61" s="1">
        <v>75</v>
      </c>
      <c r="J61" s="22">
        <v>0.15625</v>
      </c>
      <c r="K61" s="22"/>
      <c r="L61" s="2"/>
      <c r="M61" s="2">
        <f>_xlfn.LET(
    _xlpm.qty, C61,
    _xlpm.weight_g, G61 + H61 + Jobs[[#This Row],[Flushed/g]],
    _xlpm.material, TRIM(E61),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204750</v>
      </c>
      <c r="N61" s="2">
        <f>_xlfn.LET(
    _xlpm.qty, C61,
    _xlpm.hours, J61*24,
    _xlpm.power_w, _xlfn.XLOOKUP(TRIM(D61), Settings!$F$4:$F$101, Settings!$G$4:$G$101, 120),
    _xlpm.rate, Settings!$D$4,
    _xlpm.qty * _xlpm.hours * (_xlpm.power_w / 1000) * _xlpm.rate
)</f>
        <v>365.4</v>
      </c>
      <c r="O61" s="2">
        <f>_xlfn.LET(
    _xlpm.qty, C61,
    _xlpm.hours, J61*24,
    _xlpm.price, _xlfn.XLOOKUP(TRIM(D61), Settings!$F$4:$F$101, Settings!$H$4:$H$101, 0),
    _xlpm.life, _xlfn.XLOOKUP(TRIM(D61), Settings!$F$4:$F$101, Settings!$I$4:$I$101, 1),
    _xlpm.qty * _xlpm.hours * (_xlpm.price / _xlpm.life)
)</f>
        <v>56250</v>
      </c>
      <c r="P61" s="2">
        <f>_xlfn.LET(
    _xlpm.qty, C61,
    _xlpm.hours, J61*24,
    _xlpm.price, _xlfn.XLOOKUP(TRIM(D61), Settings!$F$4:$F$101, Settings!$H$4:$H$101, 0),
    _xlpm.life, _xlfn.XLOOKUP(TRIM(D61), Settings!$F$4:$F$101, Settings!$I$4:$I$101, 1),
    _xlpm.pct, _xlfn.XLOOKUP(TRIM(D61), Settings!$F$4:$F$101, Settings!$J$4:$J$101, 0),
    _xlpm.qty * _xlpm.hours * (_xlpm.price / _xlpm.life * _xlpm.pct)
)</f>
        <v>2812.5</v>
      </c>
      <c r="Q61" s="2">
        <f>Jobs[[#This Row],[Post Pro/h]]*Settings!$D$18</f>
        <v>0</v>
      </c>
      <c r="R61" s="2">
        <f>(Jobs[[#This Row],[power/t]]+Jobs[[#This Row],[Matrial/t]]+Jobs[[#This Row],[downturn/t]]+Jobs[[#This Row],[Maintenance/t]]+Jobs[[#This Row],[Coloring/t]]+Jobs[[#This Row],[Extras]])*Settings!$D$12</f>
        <v>79253.37000000001</v>
      </c>
      <c r="S61" s="2">
        <f>Jobs[[#This Row],[Matrial/t]] + Jobs[[#This Row],[power/t]] + Jobs[[#This Row],[downturn/t]] + Jobs[[#This Row],[Maintenance/t]] + Jobs[[#This Row],[Coloring/t]] + Jobs[[#This Row],[overhead/t]] + Jobs[[#This Row],[Extras]]</f>
        <v>343431.27</v>
      </c>
      <c r="T61" s="2">
        <f>S61*(1+Settings!$D$5)</f>
        <v>1030293.81</v>
      </c>
      <c r="U61" s="2">
        <f>Jobs[[#This Row],[Sugested Price/t]] - Jobs[[#This Row],[base price/t]]</f>
        <v>686862.54</v>
      </c>
      <c r="V61" s="3">
        <f>IFERROR(Jobs[[#This Row],[Gross margin/t]] / Jobs[[#This Row],[base price/t]], 0)</f>
        <v>2</v>
      </c>
    </row>
    <row r="62" spans="1:22" x14ac:dyDescent="0.25">
      <c r="A62" t="s">
        <v>157</v>
      </c>
      <c r="B62" s="18" t="s">
        <v>320</v>
      </c>
      <c r="C62" s="18">
        <v>1</v>
      </c>
      <c r="D62" t="s">
        <v>130</v>
      </c>
      <c r="E62" t="s">
        <v>5</v>
      </c>
      <c r="F62" t="s">
        <v>22</v>
      </c>
      <c r="G62" s="1">
        <v>10</v>
      </c>
      <c r="J62" s="22">
        <v>2.0833333333333332E-2</v>
      </c>
      <c r="K62" s="22"/>
      <c r="L62" s="2"/>
      <c r="M62" s="2">
        <f>_xlfn.LET(
    _xlpm.qty, C62,
    _xlpm.weight_g, G62 + H62 + Jobs[[#This Row],[Flushed/g]],
    _xlpm.material, TRIM(E62),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27300</v>
      </c>
      <c r="N62" s="2">
        <f>_xlfn.LET(
    _xlpm.qty, C62,
    _xlpm.hours, J62*24,
    _xlpm.power_w, _xlfn.XLOOKUP(TRIM(D62), Settings!$F$4:$F$101, Settings!$G$4:$G$101, 120),
    _xlpm.rate, Settings!$D$4,
    _xlpm.qty * _xlpm.hours * (_xlpm.power_w / 1000) * _xlpm.rate
)</f>
        <v>48.72</v>
      </c>
      <c r="O62" s="2">
        <f>_xlfn.LET(
    _xlpm.qty, C62,
    _xlpm.hours, J62*24,
    _xlpm.price, _xlfn.XLOOKUP(TRIM(D62), Settings!$F$4:$F$101, Settings!$H$4:$H$101, 0),
    _xlpm.life, _xlfn.XLOOKUP(TRIM(D62), Settings!$F$4:$F$101, Settings!$I$4:$I$101, 1),
    _xlpm.qty * _xlpm.hours * (_xlpm.price / _xlpm.life)
)</f>
        <v>7500</v>
      </c>
      <c r="P62" s="2">
        <f>_xlfn.LET(
    _xlpm.qty, C62,
    _xlpm.hours, J62*24,
    _xlpm.price, _xlfn.XLOOKUP(TRIM(D62), Settings!$F$4:$F$101, Settings!$H$4:$H$101, 0),
    _xlpm.life, _xlfn.XLOOKUP(TRIM(D62), Settings!$F$4:$F$101, Settings!$I$4:$I$101, 1),
    _xlpm.pct, _xlfn.XLOOKUP(TRIM(D62), Settings!$F$4:$F$101, Settings!$J$4:$J$101, 0),
    _xlpm.qty * _xlpm.hours * (_xlpm.price / _xlpm.life * _xlpm.pct)
)</f>
        <v>375</v>
      </c>
      <c r="Q62" s="2">
        <f>Jobs[[#This Row],[Post Pro/h]]*Settings!$D$18</f>
        <v>0</v>
      </c>
      <c r="R62" s="2">
        <f>(Jobs[[#This Row],[power/t]]+Jobs[[#This Row],[Matrial/t]]+Jobs[[#This Row],[downturn/t]]+Jobs[[#This Row],[Maintenance/t]]+Jobs[[#This Row],[Coloring/t]]+Jobs[[#This Row],[Extras]])*Settings!$D$12</f>
        <v>10567.116</v>
      </c>
      <c r="S62" s="2">
        <f>Jobs[[#This Row],[Matrial/t]] + Jobs[[#This Row],[power/t]] + Jobs[[#This Row],[downturn/t]] + Jobs[[#This Row],[Maintenance/t]] + Jobs[[#This Row],[Coloring/t]] + Jobs[[#This Row],[overhead/t]] + Jobs[[#This Row],[Extras]]</f>
        <v>45790.836000000003</v>
      </c>
      <c r="T62" s="2">
        <f>S62*(1+Settings!$D$5)</f>
        <v>137372.508</v>
      </c>
      <c r="U62" s="2">
        <f>Jobs[[#This Row],[Sugested Price/t]] - Jobs[[#This Row],[base price/t]]</f>
        <v>91581.671999999991</v>
      </c>
      <c r="V62" s="3">
        <f>IFERROR(Jobs[[#This Row],[Gross margin/t]] / Jobs[[#This Row],[base price/t]], 0)</f>
        <v>1.9999999999999998</v>
      </c>
    </row>
    <row r="63" spans="1:22" x14ac:dyDescent="0.25">
      <c r="A63" t="s">
        <v>158</v>
      </c>
      <c r="B63" s="18" t="s">
        <v>321</v>
      </c>
      <c r="C63" s="18">
        <v>1</v>
      </c>
      <c r="D63" t="s">
        <v>130</v>
      </c>
      <c r="E63" t="s">
        <v>5</v>
      </c>
      <c r="F63" t="s">
        <v>22</v>
      </c>
      <c r="G63" s="1">
        <v>10</v>
      </c>
      <c r="J63" s="22">
        <v>5.2083333333333336E-2</v>
      </c>
      <c r="K63" s="22"/>
      <c r="L63" s="2"/>
      <c r="M63" s="2">
        <f>_xlfn.LET(
    _xlpm.qty, C63,
    _xlpm.weight_g, G63 + H63 + Jobs[[#This Row],[Flushed/g]],
    _xlpm.material, TRIM(E63),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27300</v>
      </c>
      <c r="N63" s="2">
        <f>_xlfn.LET(
    _xlpm.qty, C63,
    _xlpm.hours, J63*24,
    _xlpm.power_w, _xlfn.XLOOKUP(TRIM(D63), Settings!$F$4:$F$101, Settings!$G$4:$G$101, 120),
    _xlpm.rate, Settings!$D$4,
    _xlpm.qty * _xlpm.hours * (_xlpm.power_w / 1000) * _xlpm.rate
)</f>
        <v>121.8</v>
      </c>
      <c r="O63" s="2">
        <f>_xlfn.LET(
    _xlpm.qty, C63,
    _xlpm.hours, J63*24,
    _xlpm.price, _xlfn.XLOOKUP(TRIM(D63), Settings!$F$4:$F$101, Settings!$H$4:$H$101, 0),
    _xlpm.life, _xlfn.XLOOKUP(TRIM(D63), Settings!$F$4:$F$101, Settings!$I$4:$I$101, 1),
    _xlpm.qty * _xlpm.hours * (_xlpm.price / _xlpm.life)
)</f>
        <v>18750</v>
      </c>
      <c r="P63" s="2">
        <f>_xlfn.LET(
    _xlpm.qty, C63,
    _xlpm.hours, J63*24,
    _xlpm.price, _xlfn.XLOOKUP(TRIM(D63), Settings!$F$4:$F$101, Settings!$H$4:$H$101, 0),
    _xlpm.life, _xlfn.XLOOKUP(TRIM(D63), Settings!$F$4:$F$101, Settings!$I$4:$I$101, 1),
    _xlpm.pct, _xlfn.XLOOKUP(TRIM(D63), Settings!$F$4:$F$101, Settings!$J$4:$J$101, 0),
    _xlpm.qty * _xlpm.hours * (_xlpm.price / _xlpm.life * _xlpm.pct)
)</f>
        <v>937.5</v>
      </c>
      <c r="Q63" s="2">
        <f>Jobs[[#This Row],[Post Pro/h]]*Settings!$D$18</f>
        <v>0</v>
      </c>
      <c r="R63" s="2">
        <f>(Jobs[[#This Row],[power/t]]+Jobs[[#This Row],[Matrial/t]]+Jobs[[#This Row],[downturn/t]]+Jobs[[#This Row],[Maintenance/t]]+Jobs[[#This Row],[Coloring/t]]+Jobs[[#This Row],[Extras]])*Settings!$D$12</f>
        <v>14132.79</v>
      </c>
      <c r="S63" s="2">
        <f>Jobs[[#This Row],[Matrial/t]] + Jobs[[#This Row],[power/t]] + Jobs[[#This Row],[downturn/t]] + Jobs[[#This Row],[Maintenance/t]] + Jobs[[#This Row],[Coloring/t]] + Jobs[[#This Row],[overhead/t]] + Jobs[[#This Row],[Extras]]</f>
        <v>61242.090000000004</v>
      </c>
      <c r="T63" s="2">
        <f>S63*(1+Settings!$D$5)</f>
        <v>183726.27000000002</v>
      </c>
      <c r="U63" s="2">
        <f>Jobs[[#This Row],[Sugested Price/t]] - Jobs[[#This Row],[base price/t]]</f>
        <v>122484.18000000002</v>
      </c>
      <c r="V63" s="3">
        <f>IFERROR(Jobs[[#This Row],[Gross margin/t]] / Jobs[[#This Row],[base price/t]], 0)</f>
        <v>2.0000000000000004</v>
      </c>
    </row>
    <row r="64" spans="1:22" x14ac:dyDescent="0.25">
      <c r="A64" t="s">
        <v>159</v>
      </c>
      <c r="B64" s="18" t="s">
        <v>322</v>
      </c>
      <c r="C64" s="18">
        <v>1</v>
      </c>
      <c r="D64" t="s">
        <v>130</v>
      </c>
      <c r="E64" t="s">
        <v>5</v>
      </c>
      <c r="F64" t="s">
        <v>22</v>
      </c>
      <c r="G64" s="1">
        <v>30</v>
      </c>
      <c r="J64" s="22">
        <v>0.10416666666666667</v>
      </c>
      <c r="K64" s="22"/>
      <c r="L64" s="2"/>
      <c r="M64" s="2">
        <f>_xlfn.LET(
    _xlpm.qty, C64,
    _xlpm.weight_g, G64 + H64 + Jobs[[#This Row],[Flushed/g]],
    _xlpm.material, TRIM(E64),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81900</v>
      </c>
      <c r="N64" s="2">
        <f>_xlfn.LET(
    _xlpm.qty, C64,
    _xlpm.hours, J64*24,
    _xlpm.power_w, _xlfn.XLOOKUP(TRIM(D64), Settings!$F$4:$F$101, Settings!$G$4:$G$101, 120),
    _xlpm.rate, Settings!$D$4,
    _xlpm.qty * _xlpm.hours * (_xlpm.power_w / 1000) * _xlpm.rate
)</f>
        <v>243.6</v>
      </c>
      <c r="O64" s="2">
        <f>_xlfn.LET(
    _xlpm.qty, C64,
    _xlpm.hours, J64*24,
    _xlpm.price, _xlfn.XLOOKUP(TRIM(D64), Settings!$F$4:$F$101, Settings!$H$4:$H$101, 0),
    _xlpm.life, _xlfn.XLOOKUP(TRIM(D64), Settings!$F$4:$F$101, Settings!$I$4:$I$101, 1),
    _xlpm.qty * _xlpm.hours * (_xlpm.price / _xlpm.life)
)</f>
        <v>37500</v>
      </c>
      <c r="P64" s="2">
        <f>_xlfn.LET(
    _xlpm.qty, C64,
    _xlpm.hours, J64*24,
    _xlpm.price, _xlfn.XLOOKUP(TRIM(D64), Settings!$F$4:$F$101, Settings!$H$4:$H$101, 0),
    _xlpm.life, _xlfn.XLOOKUP(TRIM(D64), Settings!$F$4:$F$101, Settings!$I$4:$I$101, 1),
    _xlpm.pct, _xlfn.XLOOKUP(TRIM(D64), Settings!$F$4:$F$101, Settings!$J$4:$J$101, 0),
    _xlpm.qty * _xlpm.hours * (_xlpm.price / _xlpm.life * _xlpm.pct)
)</f>
        <v>1875</v>
      </c>
      <c r="Q64" s="2">
        <f>Jobs[[#This Row],[Post Pro/h]]*Settings!$D$18</f>
        <v>0</v>
      </c>
      <c r="R64" s="2">
        <f>(Jobs[[#This Row],[power/t]]+Jobs[[#This Row],[Matrial/t]]+Jobs[[#This Row],[downturn/t]]+Jobs[[#This Row],[Maintenance/t]]+Jobs[[#This Row],[Coloring/t]]+Jobs[[#This Row],[Extras]])*Settings!$D$12</f>
        <v>36455.58</v>
      </c>
      <c r="S64" s="2">
        <f>Jobs[[#This Row],[Matrial/t]] + Jobs[[#This Row],[power/t]] + Jobs[[#This Row],[downturn/t]] + Jobs[[#This Row],[Maintenance/t]] + Jobs[[#This Row],[Coloring/t]] + Jobs[[#This Row],[overhead/t]] + Jobs[[#This Row],[Extras]]</f>
        <v>157974.18</v>
      </c>
      <c r="T64" s="2">
        <f>S64*(1+Settings!$D$5)</f>
        <v>473922.54</v>
      </c>
      <c r="U64" s="2">
        <f>Jobs[[#This Row],[Sugested Price/t]] - Jobs[[#This Row],[base price/t]]</f>
        <v>315948.36</v>
      </c>
      <c r="V64" s="3">
        <f>IFERROR(Jobs[[#This Row],[Gross margin/t]] / Jobs[[#This Row],[base price/t]], 0)</f>
        <v>2</v>
      </c>
    </row>
    <row r="65" spans="1:22" x14ac:dyDescent="0.25">
      <c r="A65" t="s">
        <v>161</v>
      </c>
      <c r="B65" s="18" t="s">
        <v>323</v>
      </c>
      <c r="C65" s="18">
        <v>1</v>
      </c>
      <c r="D65" t="s">
        <v>130</v>
      </c>
      <c r="E65" t="s">
        <v>5</v>
      </c>
      <c r="F65" t="s">
        <v>22</v>
      </c>
      <c r="G65" s="1">
        <v>150</v>
      </c>
      <c r="J65" s="37">
        <v>0.2986111111111111</v>
      </c>
      <c r="K65" s="22"/>
      <c r="L65" s="2"/>
      <c r="M65" s="2">
        <f>_xlfn.LET(
    _xlpm.qty, C65,
    _xlpm.weight_g, G65 + H65 + Jobs[[#This Row],[Flushed/g]],
    _xlpm.material, TRIM(E65),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409500</v>
      </c>
      <c r="N65" s="2">
        <f>_xlfn.LET(
    _xlpm.qty, C65,
    _xlpm.hours, J65*24,
    _xlpm.power_w, _xlfn.XLOOKUP(TRIM(D65), Settings!$F$4:$F$101, Settings!$G$4:$G$101, 120),
    _xlpm.rate, Settings!$D$4,
    _xlpm.qty * _xlpm.hours * (_xlpm.power_w / 1000) * _xlpm.rate
)</f>
        <v>698.31999999999994</v>
      </c>
      <c r="O65" s="2">
        <f>_xlfn.LET(
    _xlpm.qty, C65,
    _xlpm.hours, J65*24,
    _xlpm.price, _xlfn.XLOOKUP(TRIM(D65), Settings!$F$4:$F$101, Settings!$H$4:$H$101, 0),
    _xlpm.life, _xlfn.XLOOKUP(TRIM(D65), Settings!$F$4:$F$101, Settings!$I$4:$I$101, 1),
    _xlpm.qty * _xlpm.hours * (_xlpm.price / _xlpm.life)
)</f>
        <v>107499.99999999999</v>
      </c>
      <c r="P65" s="2">
        <f>_xlfn.LET(
    _xlpm.qty, C65,
    _xlpm.hours, J65*24,
    _xlpm.price, _xlfn.XLOOKUP(TRIM(D65), Settings!$F$4:$F$101, Settings!$H$4:$H$101, 0),
    _xlpm.life, _xlfn.XLOOKUP(TRIM(D65), Settings!$F$4:$F$101, Settings!$I$4:$I$101, 1),
    _xlpm.pct, _xlfn.XLOOKUP(TRIM(D65), Settings!$F$4:$F$101, Settings!$J$4:$J$101, 0),
    _xlpm.qty * _xlpm.hours * (_xlpm.price / _xlpm.life * _xlpm.pct)
)</f>
        <v>5375</v>
      </c>
      <c r="Q65" s="2">
        <f>Jobs[[#This Row],[Post Pro/h]]*Settings!$D$18</f>
        <v>0</v>
      </c>
      <c r="R65" s="2">
        <f>(Jobs[[#This Row],[power/t]]+Jobs[[#This Row],[Matrial/t]]+Jobs[[#This Row],[downturn/t]]+Jobs[[#This Row],[Maintenance/t]]+Jobs[[#This Row],[Coloring/t]]+Jobs[[#This Row],[Extras]])*Settings!$D$12</f>
        <v>156921.99599999998</v>
      </c>
      <c r="S65" s="2">
        <f>Jobs[[#This Row],[Matrial/t]] + Jobs[[#This Row],[power/t]] + Jobs[[#This Row],[downturn/t]] + Jobs[[#This Row],[Maintenance/t]] + Jobs[[#This Row],[Coloring/t]] + Jobs[[#This Row],[overhead/t]] + Jobs[[#This Row],[Extras]]</f>
        <v>679995.31599999999</v>
      </c>
      <c r="T65" s="2">
        <f>S65*(1+Settings!$D$5)</f>
        <v>2039985.9479999999</v>
      </c>
      <c r="U65" s="2">
        <f>Jobs[[#This Row],[Sugested Price/t]] - Jobs[[#This Row],[base price/t]]</f>
        <v>1359990.6319999998</v>
      </c>
      <c r="V65" s="3">
        <f>IFERROR(Jobs[[#This Row],[Gross margin/t]] / Jobs[[#This Row],[base price/t]], 0)</f>
        <v>1.9999999999999996</v>
      </c>
    </row>
    <row r="66" spans="1:22" x14ac:dyDescent="0.25">
      <c r="A66" t="s">
        <v>162</v>
      </c>
      <c r="B66" s="18" t="s">
        <v>324</v>
      </c>
      <c r="C66" s="18">
        <v>1</v>
      </c>
      <c r="D66" t="s">
        <v>130</v>
      </c>
      <c r="E66" t="s">
        <v>5</v>
      </c>
      <c r="F66" t="s">
        <v>22</v>
      </c>
      <c r="G66" s="1">
        <v>567</v>
      </c>
      <c r="J66" s="37">
        <v>0.99930555555555556</v>
      </c>
      <c r="K66" s="22"/>
      <c r="M66" s="2">
        <f>_xlfn.LET(
    _xlpm.qty, C66,
    _xlpm.weight_g, G66 + H66 + Jobs[[#This Row],[Flushed/g]],
    _xlpm.material, TRIM(E66),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1547909.9999999998</v>
      </c>
      <c r="N66" s="2">
        <f>_xlfn.LET(
    _xlpm.qty, C66,
    _xlpm.hours, J66*24,
    _xlpm.power_w, _xlfn.XLOOKUP(TRIM(D66), Settings!$F$4:$F$101, Settings!$G$4:$G$101, 120),
    _xlpm.rate, Settings!$D$4,
    _xlpm.qty * _xlpm.hours * (_xlpm.power_w / 1000) * _xlpm.rate
)</f>
        <v>2336.9360000000001</v>
      </c>
      <c r="O66" s="2">
        <f>_xlfn.LET(
    _xlpm.qty, C66,
    _xlpm.hours, J66*24,
    _xlpm.price, _xlfn.XLOOKUP(TRIM(D66), Settings!$F$4:$F$101, Settings!$H$4:$H$101, 0),
    _xlpm.life, _xlfn.XLOOKUP(TRIM(D66), Settings!$F$4:$F$101, Settings!$I$4:$I$101, 1),
    _xlpm.qty * _xlpm.hours * (_xlpm.price / _xlpm.life)
)</f>
        <v>359750</v>
      </c>
      <c r="P66" s="2">
        <f>_xlfn.LET(
    _xlpm.qty, C66,
    _xlpm.hours, J66*24,
    _xlpm.price, _xlfn.XLOOKUP(TRIM(D66), Settings!$F$4:$F$101, Settings!$H$4:$H$101, 0),
    _xlpm.life, _xlfn.XLOOKUP(TRIM(D66), Settings!$F$4:$F$101, Settings!$I$4:$I$101, 1),
    _xlpm.pct, _xlfn.XLOOKUP(TRIM(D66), Settings!$F$4:$F$101, Settings!$J$4:$J$101, 0),
    _xlpm.qty * _xlpm.hours * (_xlpm.price / _xlpm.life * _xlpm.pct)
)</f>
        <v>17987.5</v>
      </c>
      <c r="Q66" s="2">
        <f>Jobs[[#This Row],[Post Pro/h]]*Settings!$D$18</f>
        <v>0</v>
      </c>
      <c r="R66" s="2">
        <f>(Jobs[[#This Row],[power/t]]+Jobs[[#This Row],[Matrial/t]]+Jobs[[#This Row],[downturn/t]]+Jobs[[#This Row],[Maintenance/t]]+Jobs[[#This Row],[Coloring/t]]+Jobs[[#This Row],[Extras]])*Settings!$D$12</f>
        <v>578395.33079999988</v>
      </c>
      <c r="S66" s="2">
        <f>Jobs[[#This Row],[Matrial/t]] + Jobs[[#This Row],[power/t]] + Jobs[[#This Row],[downturn/t]] + Jobs[[#This Row],[Maintenance/t]] + Jobs[[#This Row],[Coloring/t]] + Jobs[[#This Row],[overhead/t]] + Jobs[[#This Row],[Extras]]</f>
        <v>2506379.7667999994</v>
      </c>
      <c r="T66" s="2">
        <f>S66*(1+Settings!$D$5)</f>
        <v>7519139.3003999982</v>
      </c>
      <c r="U66" s="2">
        <f>Jobs[[#This Row],[Sugested Price/t]] - Jobs[[#This Row],[base price/t]]</f>
        <v>5012759.5335999988</v>
      </c>
      <c r="V66" s="3">
        <f>IFERROR(Jobs[[#This Row],[Gross margin/t]] / Jobs[[#This Row],[base price/t]], 0)</f>
        <v>2</v>
      </c>
    </row>
    <row r="67" spans="1:22" x14ac:dyDescent="0.25">
      <c r="A67" t="s">
        <v>163</v>
      </c>
      <c r="B67" s="18" t="s">
        <v>325</v>
      </c>
      <c r="C67" s="18">
        <v>1</v>
      </c>
      <c r="D67" t="s">
        <v>130</v>
      </c>
      <c r="E67" t="s">
        <v>5</v>
      </c>
      <c r="F67" t="s">
        <v>22</v>
      </c>
      <c r="G67" s="1">
        <v>462</v>
      </c>
      <c r="J67" s="37">
        <v>0.5625</v>
      </c>
      <c r="K67" s="22"/>
      <c r="L67" s="2"/>
      <c r="M67" s="2">
        <f>_xlfn.LET(
    _xlpm.qty, C67,
    _xlpm.weight_g, G67 + H67 + Jobs[[#This Row],[Flushed/g]],
    _xlpm.material, TRIM(E67),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1261260</v>
      </c>
      <c r="N67" s="2">
        <f>_xlfn.LET(
    _xlpm.qty, C67,
    _xlpm.hours, J67*24,
    _xlpm.power_w, _xlfn.XLOOKUP(TRIM(D67), Settings!$F$4:$F$101, Settings!$G$4:$G$101, 120),
    _xlpm.rate, Settings!$D$4,
    _xlpm.qty * _xlpm.hours * (_xlpm.power_w / 1000) * _xlpm.rate
)</f>
        <v>1315.4399999999998</v>
      </c>
      <c r="O67" s="2">
        <f>_xlfn.LET(
    _xlpm.qty, C67,
    _xlpm.hours, J67*24,
    _xlpm.price, _xlfn.XLOOKUP(TRIM(D67), Settings!$F$4:$F$101, Settings!$H$4:$H$101, 0),
    _xlpm.life, _xlfn.XLOOKUP(TRIM(D67), Settings!$F$4:$F$101, Settings!$I$4:$I$101, 1),
    _xlpm.qty * _xlpm.hours * (_xlpm.price / _xlpm.life)
)</f>
        <v>202500</v>
      </c>
      <c r="P67" s="2">
        <f>_xlfn.LET(
    _xlpm.qty, C67,
    _xlpm.hours, J67*24,
    _xlpm.price, _xlfn.XLOOKUP(TRIM(D67), Settings!$F$4:$F$101, Settings!$H$4:$H$101, 0),
    _xlpm.life, _xlfn.XLOOKUP(TRIM(D67), Settings!$F$4:$F$101, Settings!$I$4:$I$101, 1),
    _xlpm.pct, _xlfn.XLOOKUP(TRIM(D67), Settings!$F$4:$F$101, Settings!$J$4:$J$101, 0),
    _xlpm.qty * _xlpm.hours * (_xlpm.price / _xlpm.life * _xlpm.pct)
)</f>
        <v>10125</v>
      </c>
      <c r="Q67" s="2">
        <f>Jobs[[#This Row],[Post Pro/h]]*Settings!$D$18</f>
        <v>0</v>
      </c>
      <c r="R67" s="2">
        <f>(Jobs[[#This Row],[power/t]]+Jobs[[#This Row],[Matrial/t]]+Jobs[[#This Row],[downturn/t]]+Jobs[[#This Row],[Maintenance/t]]+Jobs[[#This Row],[Coloring/t]]+Jobs[[#This Row],[Extras]])*Settings!$D$12</f>
        <v>442560.13199999998</v>
      </c>
      <c r="S67" s="2">
        <f>Jobs[[#This Row],[Matrial/t]] + Jobs[[#This Row],[power/t]] + Jobs[[#This Row],[downturn/t]] + Jobs[[#This Row],[Maintenance/t]] + Jobs[[#This Row],[Coloring/t]] + Jobs[[#This Row],[overhead/t]] + Jobs[[#This Row],[Extras]]</f>
        <v>1917760.5719999999</v>
      </c>
      <c r="T67" s="2">
        <f>S67*(1+Settings!$D$5)</f>
        <v>5753281.716</v>
      </c>
      <c r="U67" s="2">
        <f>Jobs[[#This Row],[Sugested Price/t]] - Jobs[[#This Row],[base price/t]]</f>
        <v>3835521.1440000003</v>
      </c>
      <c r="V67" s="3">
        <f>IFERROR(Jobs[[#This Row],[Gross margin/t]] / Jobs[[#This Row],[base price/t]], 0)</f>
        <v>2.0000000000000004</v>
      </c>
    </row>
    <row r="68" spans="1:22" x14ac:dyDescent="0.25">
      <c r="A68" t="s">
        <v>164</v>
      </c>
      <c r="B68" s="18" t="s">
        <v>326</v>
      </c>
      <c r="C68" s="18">
        <v>1</v>
      </c>
      <c r="D68" t="s">
        <v>130</v>
      </c>
      <c r="E68" t="s">
        <v>5</v>
      </c>
      <c r="F68" t="s">
        <v>22</v>
      </c>
      <c r="G68" s="1">
        <v>31</v>
      </c>
      <c r="J68" s="37">
        <v>4.9305555555555554E-2</v>
      </c>
      <c r="K68" s="22"/>
      <c r="L68" s="2"/>
      <c r="M68" s="2">
        <f>_xlfn.LET(
    _xlpm.qty, C68,
    _xlpm.weight_g, G68 + H68 + Jobs[[#This Row],[Flushed/g]],
    _xlpm.material, TRIM(E68),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84630</v>
      </c>
      <c r="N68" s="2">
        <f>_xlfn.LET(
    _xlpm.qty, C68,
    _xlpm.hours, J68*24,
    _xlpm.power_w, _xlfn.XLOOKUP(TRIM(D68), Settings!$F$4:$F$101, Settings!$G$4:$G$101, 120),
    _xlpm.rate, Settings!$D$4,
    _xlpm.qty * _xlpm.hours * (_xlpm.power_w / 1000) * _xlpm.rate
)</f>
        <v>115.30399999999999</v>
      </c>
      <c r="O68" s="2">
        <f>_xlfn.LET(
    _xlpm.qty, C68,
    _xlpm.hours, J68*24,
    _xlpm.price, _xlfn.XLOOKUP(TRIM(D68), Settings!$F$4:$F$101, Settings!$H$4:$H$101, 0),
    _xlpm.life, _xlfn.XLOOKUP(TRIM(D68), Settings!$F$4:$F$101, Settings!$I$4:$I$101, 1),
    _xlpm.qty * _xlpm.hours * (_xlpm.price / _xlpm.life)
)</f>
        <v>17750</v>
      </c>
      <c r="P68" s="2">
        <f>_xlfn.LET(
    _xlpm.qty, C68,
    _xlpm.hours, J68*24,
    _xlpm.price, _xlfn.XLOOKUP(TRIM(D68), Settings!$F$4:$F$101, Settings!$H$4:$H$101, 0),
    _xlpm.life, _xlfn.XLOOKUP(TRIM(D68), Settings!$F$4:$F$101, Settings!$I$4:$I$101, 1),
    _xlpm.pct, _xlfn.XLOOKUP(TRIM(D68), Settings!$F$4:$F$101, Settings!$J$4:$J$101, 0),
    _xlpm.qty * _xlpm.hours * (_xlpm.price / _xlpm.life * _xlpm.pct)
)</f>
        <v>887.5</v>
      </c>
      <c r="Q68" s="2">
        <f>Jobs[[#This Row],[Post Pro/h]]*Settings!$D$18</f>
        <v>0</v>
      </c>
      <c r="R68" s="2">
        <f>(Jobs[[#This Row],[power/t]]+Jobs[[#This Row],[Matrial/t]]+Jobs[[#This Row],[downturn/t]]+Jobs[[#This Row],[Maintenance/t]]+Jobs[[#This Row],[Coloring/t]]+Jobs[[#This Row],[Extras]])*Settings!$D$12</f>
        <v>31014.841199999999</v>
      </c>
      <c r="S68" s="2">
        <f>Jobs[[#This Row],[Matrial/t]] + Jobs[[#This Row],[power/t]] + Jobs[[#This Row],[downturn/t]] + Jobs[[#This Row],[Maintenance/t]] + Jobs[[#This Row],[Coloring/t]] + Jobs[[#This Row],[overhead/t]] + Jobs[[#This Row],[Extras]]</f>
        <v>134397.6452</v>
      </c>
      <c r="T68" s="2">
        <f>S68*(1+Settings!$D$5)</f>
        <v>403192.93559999997</v>
      </c>
      <c r="U68" s="2">
        <f>Jobs[[#This Row],[Sugested Price/t]] - Jobs[[#This Row],[base price/t]]</f>
        <v>268795.29039999994</v>
      </c>
      <c r="V68" s="3">
        <f>IFERROR(Jobs[[#This Row],[Gross margin/t]] / Jobs[[#This Row],[base price/t]], 0)</f>
        <v>1.9999999999999996</v>
      </c>
    </row>
    <row r="69" spans="1:22" x14ac:dyDescent="0.25">
      <c r="A69" t="s">
        <v>165</v>
      </c>
      <c r="B69" s="18" t="s">
        <v>327</v>
      </c>
      <c r="C69" s="18">
        <v>1</v>
      </c>
      <c r="D69" t="s">
        <v>130</v>
      </c>
      <c r="E69" t="s">
        <v>5</v>
      </c>
      <c r="F69" t="s">
        <v>22</v>
      </c>
      <c r="G69" s="1">
        <f>23+55</f>
        <v>78</v>
      </c>
      <c r="J69" s="37">
        <v>8.3333333333333329E-2</v>
      </c>
      <c r="K69" s="22"/>
      <c r="L69" s="2"/>
      <c r="M69" s="2">
        <f>_xlfn.LET(
    _xlpm.qty, C69,
    _xlpm.weight_g, G69 + H69 + Jobs[[#This Row],[Flushed/g]],
    _xlpm.material, TRIM(E69),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212940</v>
      </c>
      <c r="N69" s="2">
        <f>_xlfn.LET(
    _xlpm.qty, C69,
    _xlpm.hours, J69*24,
    _xlpm.power_w, _xlfn.XLOOKUP(TRIM(D69), Settings!$F$4:$F$101, Settings!$G$4:$G$101, 120),
    _xlpm.rate, Settings!$D$4,
    _xlpm.qty * _xlpm.hours * (_xlpm.power_w / 1000) * _xlpm.rate
)</f>
        <v>194.88</v>
      </c>
      <c r="O69" s="2">
        <f>_xlfn.LET(
    _xlpm.qty, C69,
    _xlpm.hours, J69*24,
    _xlpm.price, _xlfn.XLOOKUP(TRIM(D69), Settings!$F$4:$F$101, Settings!$H$4:$H$101, 0),
    _xlpm.life, _xlfn.XLOOKUP(TRIM(D69), Settings!$F$4:$F$101, Settings!$I$4:$I$101, 1),
    _xlpm.qty * _xlpm.hours * (_xlpm.price / _xlpm.life)
)</f>
        <v>30000</v>
      </c>
      <c r="P69" s="2">
        <f>_xlfn.LET(
    _xlpm.qty, C69,
    _xlpm.hours, J69*24,
    _xlpm.price, _xlfn.XLOOKUP(TRIM(D69), Settings!$F$4:$F$101, Settings!$H$4:$H$101, 0),
    _xlpm.life, _xlfn.XLOOKUP(TRIM(D69), Settings!$F$4:$F$101, Settings!$I$4:$I$101, 1),
    _xlpm.pct, _xlfn.XLOOKUP(TRIM(D69), Settings!$F$4:$F$101, Settings!$J$4:$J$101, 0),
    _xlpm.qty * _xlpm.hours * (_xlpm.price / _xlpm.life * _xlpm.pct)
)</f>
        <v>1500</v>
      </c>
      <c r="Q69" s="2">
        <f>Jobs[[#This Row],[Post Pro/h]]*Settings!$D$18</f>
        <v>0</v>
      </c>
      <c r="R69" s="2">
        <f>(Jobs[[#This Row],[power/t]]+Jobs[[#This Row],[Matrial/t]]+Jobs[[#This Row],[downturn/t]]+Jobs[[#This Row],[Maintenance/t]]+Jobs[[#This Row],[Coloring/t]]+Jobs[[#This Row],[Extras]])*Settings!$D$12</f>
        <v>73390.463999999993</v>
      </c>
      <c r="S69" s="2">
        <f>Jobs[[#This Row],[Matrial/t]] + Jobs[[#This Row],[power/t]] + Jobs[[#This Row],[downturn/t]] + Jobs[[#This Row],[Maintenance/t]] + Jobs[[#This Row],[Coloring/t]] + Jobs[[#This Row],[overhead/t]] + Jobs[[#This Row],[Extras]]</f>
        <v>318025.34399999998</v>
      </c>
      <c r="T69" s="2">
        <f>S69*(1+Settings!$D$5)</f>
        <v>954076.03199999989</v>
      </c>
      <c r="U69" s="2">
        <f>Jobs[[#This Row],[Sugested Price/t]] - Jobs[[#This Row],[base price/t]]</f>
        <v>636050.68799999985</v>
      </c>
      <c r="V69" s="3">
        <f>IFERROR(Jobs[[#This Row],[Gross margin/t]] / Jobs[[#This Row],[base price/t]], 0)</f>
        <v>1.9999999999999996</v>
      </c>
    </row>
    <row r="70" spans="1:22" x14ac:dyDescent="0.25">
      <c r="A70" t="s">
        <v>166</v>
      </c>
      <c r="B70" s="18" t="s">
        <v>328</v>
      </c>
      <c r="C70" s="18">
        <v>1</v>
      </c>
      <c r="D70" t="s">
        <v>130</v>
      </c>
      <c r="E70" t="s">
        <v>5</v>
      </c>
      <c r="F70" t="s">
        <v>22</v>
      </c>
      <c r="G70" s="1">
        <v>314</v>
      </c>
      <c r="J70" s="22">
        <v>0.375</v>
      </c>
      <c r="K70" s="22"/>
      <c r="L70" s="2"/>
      <c r="M70" s="2">
        <f>_xlfn.LET(
    _xlpm.qty, C70,
    _xlpm.weight_g, G70 + H70 + Jobs[[#This Row],[Flushed/g]],
    _xlpm.material, TRIM(E70),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857220</v>
      </c>
      <c r="N70" s="2">
        <f>_xlfn.LET(
    _xlpm.qty, C70,
    _xlpm.hours, J70*24,
    _xlpm.power_w, _xlfn.XLOOKUP(TRIM(D70), Settings!$F$4:$F$101, Settings!$G$4:$G$101, 120),
    _xlpm.rate, Settings!$D$4,
    _xlpm.qty * _xlpm.hours * (_xlpm.power_w / 1000) * _xlpm.rate
)</f>
        <v>876.96</v>
      </c>
      <c r="O70" s="2">
        <f>_xlfn.LET(
    _xlpm.qty, C70,
    _xlpm.hours, J70*24,
    _xlpm.price, _xlfn.XLOOKUP(TRIM(D70), Settings!$F$4:$F$101, Settings!$H$4:$H$101, 0),
    _xlpm.life, _xlfn.XLOOKUP(TRIM(D70), Settings!$F$4:$F$101, Settings!$I$4:$I$101, 1),
    _xlpm.qty * _xlpm.hours * (_xlpm.price / _xlpm.life)
)</f>
        <v>135000</v>
      </c>
      <c r="P70" s="2">
        <f>_xlfn.LET(
    _xlpm.qty, C70,
    _xlpm.hours, J70*24,
    _xlpm.price, _xlfn.XLOOKUP(TRIM(D70), Settings!$F$4:$F$101, Settings!$H$4:$H$101, 0),
    _xlpm.life, _xlfn.XLOOKUP(TRIM(D70), Settings!$F$4:$F$101, Settings!$I$4:$I$101, 1),
    _xlpm.pct, _xlfn.XLOOKUP(TRIM(D70), Settings!$F$4:$F$101, Settings!$J$4:$J$101, 0),
    _xlpm.qty * _xlpm.hours * (_xlpm.price / _xlpm.life * _xlpm.pct)
)</f>
        <v>6750</v>
      </c>
      <c r="Q70" s="2">
        <f>Jobs[[#This Row],[Post Pro/h]]*Settings!$D$18</f>
        <v>0</v>
      </c>
      <c r="R70" s="2">
        <f>(Jobs[[#This Row],[power/t]]+Jobs[[#This Row],[Matrial/t]]+Jobs[[#This Row],[downturn/t]]+Jobs[[#This Row],[Maintenance/t]]+Jobs[[#This Row],[Coloring/t]]+Jobs[[#This Row],[Extras]])*Settings!$D$12</f>
        <v>299954.08799999999</v>
      </c>
      <c r="S70" s="2">
        <f>Jobs[[#This Row],[Matrial/t]] + Jobs[[#This Row],[power/t]] + Jobs[[#This Row],[downturn/t]] + Jobs[[#This Row],[Maintenance/t]] + Jobs[[#This Row],[Coloring/t]] + Jobs[[#This Row],[overhead/t]] + Jobs[[#This Row],[Extras]]</f>
        <v>1299801.048</v>
      </c>
      <c r="T70" s="2">
        <f>S70*(1+Settings!$D$5)</f>
        <v>3899403.1439999999</v>
      </c>
      <c r="U70" s="2">
        <f>Jobs[[#This Row],[Sugested Price/t]] - Jobs[[#This Row],[base price/t]]</f>
        <v>2599602.0959999999</v>
      </c>
      <c r="V70" s="3">
        <f>IFERROR(Jobs[[#This Row],[Gross margin/t]] / Jobs[[#This Row],[base price/t]], 0)</f>
        <v>2</v>
      </c>
    </row>
    <row r="71" spans="1:22" x14ac:dyDescent="0.25">
      <c r="A71" t="s">
        <v>167</v>
      </c>
      <c r="B71" s="18" t="s">
        <v>329</v>
      </c>
      <c r="C71" s="18">
        <v>1</v>
      </c>
      <c r="D71" t="s">
        <v>130</v>
      </c>
      <c r="E71" t="s">
        <v>5</v>
      </c>
      <c r="F71" t="s">
        <v>22</v>
      </c>
      <c r="G71" s="1">
        <v>88</v>
      </c>
      <c r="J71" s="22">
        <v>0.13194444444444445</v>
      </c>
      <c r="K71" s="22"/>
      <c r="L71" s="2"/>
      <c r="M71" s="2">
        <f>_xlfn.LET(
    _xlpm.qty, C71,
    _xlpm.weight_g, G71 + H71 + Jobs[[#This Row],[Flushed/g]],
    _xlpm.material, TRIM(E71),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240240</v>
      </c>
      <c r="N71" s="2">
        <f>_xlfn.LET(
    _xlpm.qty, C71,
    _xlpm.hours, J71*24,
    _xlpm.power_w, _xlfn.XLOOKUP(TRIM(D71), Settings!$F$4:$F$101, Settings!$G$4:$G$101, 120),
    _xlpm.rate, Settings!$D$4,
    _xlpm.qty * _xlpm.hours * (_xlpm.power_w / 1000) * _xlpm.rate
)</f>
        <v>308.56</v>
      </c>
      <c r="O71" s="2">
        <f>_xlfn.LET(
    _xlpm.qty, C71,
    _xlpm.hours, J71*24,
    _xlpm.price, _xlfn.XLOOKUP(TRIM(D71), Settings!$F$4:$F$101, Settings!$H$4:$H$101, 0),
    _xlpm.life, _xlfn.XLOOKUP(TRIM(D71), Settings!$F$4:$F$101, Settings!$I$4:$I$101, 1),
    _xlpm.qty * _xlpm.hours * (_xlpm.price / _xlpm.life)
)</f>
        <v>47500.000000000007</v>
      </c>
      <c r="P71" s="2">
        <f>_xlfn.LET(
    _xlpm.qty, C71,
    _xlpm.hours, J71*24,
    _xlpm.price, _xlfn.XLOOKUP(TRIM(D71), Settings!$F$4:$F$101, Settings!$H$4:$H$101, 0),
    _xlpm.life, _xlfn.XLOOKUP(TRIM(D71), Settings!$F$4:$F$101, Settings!$I$4:$I$101, 1),
    _xlpm.pct, _xlfn.XLOOKUP(TRIM(D71), Settings!$F$4:$F$101, Settings!$J$4:$J$101, 0),
    _xlpm.qty * _xlpm.hours * (_xlpm.price / _xlpm.life * _xlpm.pct)
)</f>
        <v>2375</v>
      </c>
      <c r="Q71" s="2">
        <f>Jobs[[#This Row],[Post Pro/h]]*Settings!$D$18</f>
        <v>0</v>
      </c>
      <c r="R71" s="2">
        <f>(Jobs[[#This Row],[power/t]]+Jobs[[#This Row],[Matrial/t]]+Jobs[[#This Row],[downturn/t]]+Jobs[[#This Row],[Maintenance/t]]+Jobs[[#This Row],[Coloring/t]]+Jobs[[#This Row],[Extras]])*Settings!$D$12</f>
        <v>87127.067999999999</v>
      </c>
      <c r="S71" s="2">
        <f>Jobs[[#This Row],[Matrial/t]] + Jobs[[#This Row],[power/t]] + Jobs[[#This Row],[downturn/t]] + Jobs[[#This Row],[Maintenance/t]] + Jobs[[#This Row],[Coloring/t]] + Jobs[[#This Row],[overhead/t]] + Jobs[[#This Row],[Extras]]</f>
        <v>377550.62800000003</v>
      </c>
      <c r="T71" s="2">
        <f>S71*(1+Settings!$D$5)</f>
        <v>1132651.8840000001</v>
      </c>
      <c r="U71" s="2">
        <f>Jobs[[#This Row],[Sugested Price/t]] - Jobs[[#This Row],[base price/t]]</f>
        <v>755101.25600000005</v>
      </c>
      <c r="V71" s="3">
        <f>IFERROR(Jobs[[#This Row],[Gross margin/t]] / Jobs[[#This Row],[base price/t]], 0)</f>
        <v>2</v>
      </c>
    </row>
    <row r="72" spans="1:22" x14ac:dyDescent="0.25">
      <c r="A72" t="s">
        <v>168</v>
      </c>
      <c r="B72" s="18" t="s">
        <v>330</v>
      </c>
      <c r="C72" s="18">
        <v>1</v>
      </c>
      <c r="D72" t="s">
        <v>130</v>
      </c>
      <c r="E72" t="s">
        <v>5</v>
      </c>
      <c r="F72" t="s">
        <v>22</v>
      </c>
      <c r="G72" s="1">
        <v>161</v>
      </c>
      <c r="J72" s="22">
        <v>0.36805555555555558</v>
      </c>
      <c r="K72" s="22"/>
      <c r="L72" s="2"/>
      <c r="M72" s="2">
        <f>_xlfn.LET(
    _xlpm.qty, C72,
    _xlpm.weight_g, G72 + H72 + Jobs[[#This Row],[Flushed/g]],
    _xlpm.material, TRIM(E72),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439530</v>
      </c>
      <c r="N72" s="2">
        <f>_xlfn.LET(
    _xlpm.qty, C72,
    _xlpm.hours, J72*24,
    _xlpm.power_w, _xlfn.XLOOKUP(TRIM(D72), Settings!$F$4:$F$101, Settings!$G$4:$G$101, 120),
    _xlpm.rate, Settings!$D$4,
    _xlpm.qty * _xlpm.hours * (_xlpm.power_w / 1000) * _xlpm.rate
)</f>
        <v>860.72</v>
      </c>
      <c r="O72" s="2">
        <f>_xlfn.LET(
    _xlpm.qty, C72,
    _xlpm.hours, J72*24,
    _xlpm.price, _xlfn.XLOOKUP(TRIM(D72), Settings!$F$4:$F$101, Settings!$H$4:$H$101, 0),
    _xlpm.life, _xlfn.XLOOKUP(TRIM(D72), Settings!$F$4:$F$101, Settings!$I$4:$I$101, 1),
    _xlpm.qty * _xlpm.hours * (_xlpm.price / _xlpm.life)
)</f>
        <v>132500</v>
      </c>
      <c r="P72" s="2">
        <f>_xlfn.LET(
    _xlpm.qty, C72,
    _xlpm.hours, J72*24,
    _xlpm.price, _xlfn.XLOOKUP(TRIM(D72), Settings!$F$4:$F$101, Settings!$H$4:$H$101, 0),
    _xlpm.life, _xlfn.XLOOKUP(TRIM(D72), Settings!$F$4:$F$101, Settings!$I$4:$I$101, 1),
    _xlpm.pct, _xlfn.XLOOKUP(TRIM(D72), Settings!$F$4:$F$101, Settings!$J$4:$J$101, 0),
    _xlpm.qty * _xlpm.hours * (_xlpm.price / _xlpm.life * _xlpm.pct)
)</f>
        <v>6625</v>
      </c>
      <c r="Q72" s="2">
        <f>Jobs[[#This Row],[Post Pro/h]]*Settings!$D$18</f>
        <v>0</v>
      </c>
      <c r="R72" s="2">
        <f>(Jobs[[#This Row],[power/t]]+Jobs[[#This Row],[Matrial/t]]+Jobs[[#This Row],[downturn/t]]+Jobs[[#This Row],[Maintenance/t]]+Jobs[[#This Row],[Coloring/t]]+Jobs[[#This Row],[Extras]])*Settings!$D$12</f>
        <v>173854.71599999999</v>
      </c>
      <c r="S72" s="2">
        <f>Jobs[[#This Row],[Matrial/t]] + Jobs[[#This Row],[power/t]] + Jobs[[#This Row],[downturn/t]] + Jobs[[#This Row],[Maintenance/t]] + Jobs[[#This Row],[Coloring/t]] + Jobs[[#This Row],[overhead/t]] + Jobs[[#This Row],[Extras]]</f>
        <v>753370.43599999999</v>
      </c>
      <c r="T72" s="2">
        <f>S72*(1+Settings!$D$5)</f>
        <v>2260111.3080000002</v>
      </c>
      <c r="U72" s="2">
        <f>Jobs[[#This Row],[Sugested Price/t]] - Jobs[[#This Row],[base price/t]]</f>
        <v>1506740.8720000002</v>
      </c>
      <c r="V72" s="3">
        <f>IFERROR(Jobs[[#This Row],[Gross margin/t]] / Jobs[[#This Row],[base price/t]], 0)</f>
        <v>2.0000000000000004</v>
      </c>
    </row>
    <row r="73" spans="1:22" x14ac:dyDescent="0.25">
      <c r="A73" t="s">
        <v>169</v>
      </c>
      <c r="B73" s="18" t="s">
        <v>331</v>
      </c>
      <c r="C73" s="18">
        <v>1</v>
      </c>
      <c r="D73" t="s">
        <v>130</v>
      </c>
      <c r="E73" t="s">
        <v>5</v>
      </c>
      <c r="F73" t="s">
        <v>22</v>
      </c>
      <c r="G73" s="1">
        <v>29</v>
      </c>
      <c r="J73" s="22">
        <v>3.4027777777777775E-2</v>
      </c>
      <c r="K73" s="22"/>
      <c r="L73" s="2"/>
      <c r="M73" s="2">
        <f>_xlfn.LET(
    _xlpm.qty, C73,
    _xlpm.weight_g, G73 + H73 + Jobs[[#This Row],[Flushed/g]],
    _xlpm.material, TRIM(E73),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79170</v>
      </c>
      <c r="N73" s="2">
        <f>_xlfn.LET(
    _xlpm.qty, C73,
    _xlpm.hours, J73*24,
    _xlpm.power_w, _xlfn.XLOOKUP(TRIM(D73), Settings!$F$4:$F$101, Settings!$G$4:$G$101, 120),
    _xlpm.rate, Settings!$D$4,
    _xlpm.qty * _xlpm.hours * (_xlpm.power_w / 1000) * _xlpm.rate
)</f>
        <v>79.575999999999993</v>
      </c>
      <c r="O73" s="2">
        <f>_xlfn.LET(
    _xlpm.qty, C73,
    _xlpm.hours, J73*24,
    _xlpm.price, _xlfn.XLOOKUP(TRIM(D73), Settings!$F$4:$F$101, Settings!$H$4:$H$101, 0),
    _xlpm.life, _xlfn.XLOOKUP(TRIM(D73), Settings!$F$4:$F$101, Settings!$I$4:$I$101, 1),
    _xlpm.qty * _xlpm.hours * (_xlpm.price / _xlpm.life)
)</f>
        <v>12250</v>
      </c>
      <c r="P73" s="2">
        <f>_xlfn.LET(
    _xlpm.qty, C73,
    _xlpm.hours, J73*24,
    _xlpm.price, _xlfn.XLOOKUP(TRIM(D73), Settings!$F$4:$F$101, Settings!$H$4:$H$101, 0),
    _xlpm.life, _xlfn.XLOOKUP(TRIM(D73), Settings!$F$4:$F$101, Settings!$I$4:$I$101, 1),
    _xlpm.pct, _xlfn.XLOOKUP(TRIM(D73), Settings!$F$4:$F$101, Settings!$J$4:$J$101, 0),
    _xlpm.qty * _xlpm.hours * (_xlpm.price / _xlpm.life * _xlpm.pct)
)</f>
        <v>612.5</v>
      </c>
      <c r="Q73" s="2">
        <f>Jobs[[#This Row],[Post Pro/h]]*Settings!$D$18</f>
        <v>0</v>
      </c>
      <c r="R73" s="2">
        <f>(Jobs[[#This Row],[power/t]]+Jobs[[#This Row],[Matrial/t]]+Jobs[[#This Row],[downturn/t]]+Jobs[[#This Row],[Maintenance/t]]+Jobs[[#This Row],[Coloring/t]]+Jobs[[#This Row],[Extras]])*Settings!$D$12</f>
        <v>27633.622800000001</v>
      </c>
      <c r="S73" s="2">
        <f>Jobs[[#This Row],[Matrial/t]] + Jobs[[#This Row],[power/t]] + Jobs[[#This Row],[downturn/t]] + Jobs[[#This Row],[Maintenance/t]] + Jobs[[#This Row],[Coloring/t]] + Jobs[[#This Row],[overhead/t]] + Jobs[[#This Row],[Extras]]</f>
        <v>119745.6988</v>
      </c>
      <c r="T73" s="2">
        <f>S73*(1+Settings!$D$5)</f>
        <v>359237.09639999998</v>
      </c>
      <c r="U73" s="2">
        <f>Jobs[[#This Row],[Sugested Price/t]] - Jobs[[#This Row],[base price/t]]</f>
        <v>239491.39759999997</v>
      </c>
      <c r="V73" s="3">
        <f>IFERROR(Jobs[[#This Row],[Gross margin/t]] / Jobs[[#This Row],[base price/t]], 0)</f>
        <v>1.9999999999999998</v>
      </c>
    </row>
    <row r="74" spans="1:22" x14ac:dyDescent="0.25">
      <c r="A74" t="s">
        <v>170</v>
      </c>
      <c r="B74" s="18" t="s">
        <v>332</v>
      </c>
      <c r="C74" s="18">
        <v>1</v>
      </c>
      <c r="D74" t="s">
        <v>130</v>
      </c>
      <c r="E74" t="s">
        <v>5</v>
      </c>
      <c r="F74" t="s">
        <v>22</v>
      </c>
      <c r="G74" s="1">
        <v>15</v>
      </c>
      <c r="J74" s="22">
        <v>2.4305555555555556E-2</v>
      </c>
      <c r="K74" s="22"/>
      <c r="L74" s="2"/>
      <c r="M74" s="2">
        <f>_xlfn.LET(
    _xlpm.qty, C74,
    _xlpm.weight_g, G74 + H74 + Jobs[[#This Row],[Flushed/g]],
    _xlpm.material, TRIM(E74),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40950</v>
      </c>
      <c r="N74" s="2">
        <f>_xlfn.LET(
    _xlpm.qty, C74,
    _xlpm.hours, J74*24,
    _xlpm.power_w, _xlfn.XLOOKUP(TRIM(D74), Settings!$F$4:$F$101, Settings!$G$4:$G$101, 120),
    _xlpm.rate, Settings!$D$4,
    _xlpm.qty * _xlpm.hours * (_xlpm.power_w / 1000) * _xlpm.rate
)</f>
        <v>56.84</v>
      </c>
      <c r="O74" s="2">
        <f>_xlfn.LET(
    _xlpm.qty, C74,
    _xlpm.hours, J74*24,
    _xlpm.price, _xlfn.XLOOKUP(TRIM(D74), Settings!$F$4:$F$101, Settings!$H$4:$H$101, 0),
    _xlpm.life, _xlfn.XLOOKUP(TRIM(D74), Settings!$F$4:$F$101, Settings!$I$4:$I$101, 1),
    _xlpm.qty * _xlpm.hours * (_xlpm.price / _xlpm.life)
)</f>
        <v>8750</v>
      </c>
      <c r="P74" s="2">
        <f>_xlfn.LET(
    _xlpm.qty, C74,
    _xlpm.hours, J74*24,
    _xlpm.price, _xlfn.XLOOKUP(TRIM(D74), Settings!$F$4:$F$101, Settings!$H$4:$H$101, 0),
    _xlpm.life, _xlfn.XLOOKUP(TRIM(D74), Settings!$F$4:$F$101, Settings!$I$4:$I$101, 1),
    _xlpm.pct, _xlfn.XLOOKUP(TRIM(D74), Settings!$F$4:$F$101, Settings!$J$4:$J$101, 0),
    _xlpm.qty * _xlpm.hours * (_xlpm.price / _xlpm.life * _xlpm.pct)
)</f>
        <v>437.5</v>
      </c>
      <c r="Q74" s="2">
        <f>Jobs[[#This Row],[Post Pro/h]]*Settings!$D$18</f>
        <v>0</v>
      </c>
      <c r="R74" s="2">
        <f>(Jobs[[#This Row],[power/t]]+Jobs[[#This Row],[Matrial/t]]+Jobs[[#This Row],[downturn/t]]+Jobs[[#This Row],[Maintenance/t]]+Jobs[[#This Row],[Coloring/t]]+Jobs[[#This Row],[Extras]])*Settings!$D$12</f>
        <v>15058.301999999998</v>
      </c>
      <c r="S74" s="2">
        <f>Jobs[[#This Row],[Matrial/t]] + Jobs[[#This Row],[power/t]] + Jobs[[#This Row],[downturn/t]] + Jobs[[#This Row],[Maintenance/t]] + Jobs[[#This Row],[Coloring/t]] + Jobs[[#This Row],[overhead/t]] + Jobs[[#This Row],[Extras]]</f>
        <v>65252.641999999993</v>
      </c>
      <c r="T74" s="2">
        <f>S74*(1+Settings!$D$5)</f>
        <v>195757.92599999998</v>
      </c>
      <c r="U74" s="2">
        <f>Jobs[[#This Row],[Sugested Price/t]] - Jobs[[#This Row],[base price/t]]</f>
        <v>130505.28399999999</v>
      </c>
      <c r="V74" s="3">
        <f>IFERROR(Jobs[[#This Row],[Gross margin/t]] / Jobs[[#This Row],[base price/t]], 0)</f>
        <v>2</v>
      </c>
    </row>
    <row r="75" spans="1:22" x14ac:dyDescent="0.25">
      <c r="A75" t="s">
        <v>171</v>
      </c>
      <c r="B75" s="18" t="s">
        <v>333</v>
      </c>
      <c r="C75" s="18">
        <v>1</v>
      </c>
      <c r="D75" t="s">
        <v>130</v>
      </c>
      <c r="E75" t="s">
        <v>5</v>
      </c>
      <c r="F75" t="s">
        <v>22</v>
      </c>
      <c r="G75" s="1">
        <v>18</v>
      </c>
      <c r="J75" s="22">
        <v>4.1666666666666664E-2</v>
      </c>
      <c r="K75" s="22"/>
      <c r="L75" s="2"/>
      <c r="M75" s="2">
        <f>_xlfn.LET(
    _xlpm.qty, C75,
    _xlpm.weight_g, G75 + H75 + Jobs[[#This Row],[Flushed/g]],
    _xlpm.material, TRIM(E75),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49140</v>
      </c>
      <c r="N75" s="2">
        <f>_xlfn.LET(
    _xlpm.qty, C75,
    _xlpm.hours, J75*24,
    _xlpm.power_w, _xlfn.XLOOKUP(TRIM(D75), Settings!$F$4:$F$101, Settings!$G$4:$G$101, 120),
    _xlpm.rate, Settings!$D$4,
    _xlpm.qty * _xlpm.hours * (_xlpm.power_w / 1000) * _xlpm.rate
)</f>
        <v>97.44</v>
      </c>
      <c r="O75" s="2">
        <f>_xlfn.LET(
    _xlpm.qty, C75,
    _xlpm.hours, J75*24,
    _xlpm.price, _xlfn.XLOOKUP(TRIM(D75), Settings!$F$4:$F$101, Settings!$H$4:$H$101, 0),
    _xlpm.life, _xlfn.XLOOKUP(TRIM(D75), Settings!$F$4:$F$101, Settings!$I$4:$I$101, 1),
    _xlpm.qty * _xlpm.hours * (_xlpm.price / _xlpm.life)
)</f>
        <v>15000</v>
      </c>
      <c r="P75" s="2">
        <f>_xlfn.LET(
    _xlpm.qty, C75,
    _xlpm.hours, J75*24,
    _xlpm.price, _xlfn.XLOOKUP(TRIM(D75), Settings!$F$4:$F$101, Settings!$H$4:$H$101, 0),
    _xlpm.life, _xlfn.XLOOKUP(TRIM(D75), Settings!$F$4:$F$101, Settings!$I$4:$I$101, 1),
    _xlpm.pct, _xlfn.XLOOKUP(TRIM(D75), Settings!$F$4:$F$101, Settings!$J$4:$J$101, 0),
    _xlpm.qty * _xlpm.hours * (_xlpm.price / _xlpm.life * _xlpm.pct)
)</f>
        <v>750</v>
      </c>
      <c r="Q75" s="2">
        <f>Jobs[[#This Row],[Post Pro/h]]*Settings!$D$18</f>
        <v>0</v>
      </c>
      <c r="R75" s="2">
        <f>(Jobs[[#This Row],[power/t]]+Jobs[[#This Row],[Matrial/t]]+Jobs[[#This Row],[downturn/t]]+Jobs[[#This Row],[Maintenance/t]]+Jobs[[#This Row],[Coloring/t]]+Jobs[[#This Row],[Extras]])*Settings!$D$12</f>
        <v>19496.232</v>
      </c>
      <c r="S75" s="2">
        <f>Jobs[[#This Row],[Matrial/t]] + Jobs[[#This Row],[power/t]] + Jobs[[#This Row],[downturn/t]] + Jobs[[#This Row],[Maintenance/t]] + Jobs[[#This Row],[Coloring/t]] + Jobs[[#This Row],[overhead/t]] + Jobs[[#This Row],[Extras]]</f>
        <v>84483.672000000006</v>
      </c>
      <c r="T75" s="2">
        <f>S75*(1+Settings!$D$5)</f>
        <v>253451.016</v>
      </c>
      <c r="U75" s="2">
        <f>Jobs[[#This Row],[Sugested Price/t]] - Jobs[[#This Row],[base price/t]]</f>
        <v>168967.34399999998</v>
      </c>
      <c r="V75" s="3">
        <f>IFERROR(Jobs[[#This Row],[Gross margin/t]] / Jobs[[#This Row],[base price/t]], 0)</f>
        <v>1.9999999999999996</v>
      </c>
    </row>
    <row r="76" spans="1:22" x14ac:dyDescent="0.25">
      <c r="A76" t="s">
        <v>172</v>
      </c>
      <c r="B76" s="18" t="s">
        <v>334</v>
      </c>
      <c r="C76" s="18">
        <v>1</v>
      </c>
      <c r="D76" t="s">
        <v>130</v>
      </c>
      <c r="E76" t="s">
        <v>5</v>
      </c>
      <c r="F76" t="s">
        <v>22</v>
      </c>
      <c r="G76" s="1">
        <v>88</v>
      </c>
      <c r="J76" s="22">
        <v>0.21805555555555556</v>
      </c>
      <c r="K76" s="22"/>
      <c r="L76" s="2"/>
      <c r="M76" s="2">
        <f>_xlfn.LET(
    _xlpm.qty, C76,
    _xlpm.weight_g, G76 + H76 + Jobs[[#This Row],[Flushed/g]],
    _xlpm.material, TRIM(E76),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240240</v>
      </c>
      <c r="N76" s="2">
        <f>_xlfn.LET(
    _xlpm.qty, C76,
    _xlpm.hours, J76*24,
    _xlpm.power_w, _xlfn.XLOOKUP(TRIM(D76), Settings!$F$4:$F$101, Settings!$G$4:$G$101, 120),
    _xlpm.rate, Settings!$D$4,
    _xlpm.qty * _xlpm.hours * (_xlpm.power_w / 1000) * _xlpm.rate
)</f>
        <v>509.93599999999998</v>
      </c>
      <c r="O76" s="2">
        <f>_xlfn.LET(
    _xlpm.qty, C76,
    _xlpm.hours, J76*24,
    _xlpm.price, _xlfn.XLOOKUP(TRIM(D76), Settings!$F$4:$F$101, Settings!$H$4:$H$101, 0),
    _xlpm.life, _xlfn.XLOOKUP(TRIM(D76), Settings!$F$4:$F$101, Settings!$I$4:$I$101, 1),
    _xlpm.qty * _xlpm.hours * (_xlpm.price / _xlpm.life)
)</f>
        <v>78500</v>
      </c>
      <c r="P76" s="2">
        <f>_xlfn.LET(
    _xlpm.qty, C76,
    _xlpm.hours, J76*24,
    _xlpm.price, _xlfn.XLOOKUP(TRIM(D76), Settings!$F$4:$F$101, Settings!$H$4:$H$101, 0),
    _xlpm.life, _xlfn.XLOOKUP(TRIM(D76), Settings!$F$4:$F$101, Settings!$I$4:$I$101, 1),
    _xlpm.pct, _xlfn.XLOOKUP(TRIM(D76), Settings!$F$4:$F$101, Settings!$J$4:$J$101, 0),
    _xlpm.qty * _xlpm.hours * (_xlpm.price / _xlpm.life * _xlpm.pct)
)</f>
        <v>3925</v>
      </c>
      <c r="Q76" s="2">
        <f>Jobs[[#This Row],[Post Pro/h]]*Settings!$D$18</f>
        <v>0</v>
      </c>
      <c r="R76" s="2">
        <f>(Jobs[[#This Row],[power/t]]+Jobs[[#This Row],[Matrial/t]]+Jobs[[#This Row],[downturn/t]]+Jobs[[#This Row],[Maintenance/t]]+Jobs[[#This Row],[Coloring/t]]+Jobs[[#This Row],[Extras]])*Settings!$D$12</f>
        <v>96952.48079999999</v>
      </c>
      <c r="S76" s="2">
        <f>Jobs[[#This Row],[Matrial/t]] + Jobs[[#This Row],[power/t]] + Jobs[[#This Row],[downturn/t]] + Jobs[[#This Row],[Maintenance/t]] + Jobs[[#This Row],[Coloring/t]] + Jobs[[#This Row],[overhead/t]] + Jobs[[#This Row],[Extras]]</f>
        <v>420127.41680000001</v>
      </c>
      <c r="T76" s="2">
        <f>S76*(1+Settings!$D$5)</f>
        <v>1260382.2504</v>
      </c>
      <c r="U76" s="2">
        <f>Jobs[[#This Row],[Sugested Price/t]] - Jobs[[#This Row],[base price/t]]</f>
        <v>840254.83360000001</v>
      </c>
      <c r="V76" s="3">
        <f>IFERROR(Jobs[[#This Row],[Gross margin/t]] / Jobs[[#This Row],[base price/t]], 0)</f>
        <v>2</v>
      </c>
    </row>
    <row r="77" spans="1:22" x14ac:dyDescent="0.25">
      <c r="A77" t="s">
        <v>173</v>
      </c>
      <c r="B77" s="18" t="s">
        <v>335</v>
      </c>
      <c r="C77" s="18">
        <v>1</v>
      </c>
      <c r="D77" t="s">
        <v>130</v>
      </c>
      <c r="E77" t="s">
        <v>5</v>
      </c>
      <c r="F77" t="s">
        <v>22</v>
      </c>
      <c r="G77" s="1">
        <v>106</v>
      </c>
      <c r="J77" s="22">
        <v>0.14583333333333334</v>
      </c>
      <c r="K77" s="22"/>
      <c r="L77" s="2"/>
      <c r="M77" s="2">
        <f>_xlfn.LET(
    _xlpm.qty, C77,
    _xlpm.weight_g, G77 + H77 + Jobs[[#This Row],[Flushed/g]],
    _xlpm.material, TRIM(E77),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289380</v>
      </c>
      <c r="N77" s="2">
        <f>_xlfn.LET(
    _xlpm.qty, C77,
    _xlpm.hours, J77*24,
    _xlpm.power_w, _xlfn.XLOOKUP(TRIM(D77), Settings!$F$4:$F$101, Settings!$G$4:$G$101, 120),
    _xlpm.rate, Settings!$D$4,
    _xlpm.qty * _xlpm.hours * (_xlpm.power_w / 1000) * _xlpm.rate
)</f>
        <v>341.03999999999996</v>
      </c>
      <c r="O77" s="2">
        <f>_xlfn.LET(
    _xlpm.qty, C77,
    _xlpm.hours, J77*24,
    _xlpm.price, _xlfn.XLOOKUP(TRIM(D77), Settings!$F$4:$F$101, Settings!$H$4:$H$101, 0),
    _xlpm.life, _xlfn.XLOOKUP(TRIM(D77), Settings!$F$4:$F$101, Settings!$I$4:$I$101, 1),
    _xlpm.qty * _xlpm.hours * (_xlpm.price / _xlpm.life)
)</f>
        <v>52500</v>
      </c>
      <c r="P77" s="2">
        <f>_xlfn.LET(
    _xlpm.qty, C77,
    _xlpm.hours, J77*24,
    _xlpm.price, _xlfn.XLOOKUP(TRIM(D77), Settings!$F$4:$F$101, Settings!$H$4:$H$101, 0),
    _xlpm.life, _xlfn.XLOOKUP(TRIM(D77), Settings!$F$4:$F$101, Settings!$I$4:$I$101, 1),
    _xlpm.pct, _xlfn.XLOOKUP(TRIM(D77), Settings!$F$4:$F$101, Settings!$J$4:$J$101, 0),
    _xlpm.qty * _xlpm.hours * (_xlpm.price / _xlpm.life * _xlpm.pct)
)</f>
        <v>2625</v>
      </c>
      <c r="Q77" s="2">
        <f>Jobs[[#This Row],[Post Pro/h]]*Settings!$D$18</f>
        <v>0</v>
      </c>
      <c r="R77" s="2">
        <f>(Jobs[[#This Row],[power/t]]+Jobs[[#This Row],[Matrial/t]]+Jobs[[#This Row],[downturn/t]]+Jobs[[#This Row],[Maintenance/t]]+Jobs[[#This Row],[Coloring/t]]+Jobs[[#This Row],[Extras]])*Settings!$D$12</f>
        <v>103453.81199999999</v>
      </c>
      <c r="S77" s="2">
        <f>Jobs[[#This Row],[Matrial/t]] + Jobs[[#This Row],[power/t]] + Jobs[[#This Row],[downturn/t]] + Jobs[[#This Row],[Maintenance/t]] + Jobs[[#This Row],[Coloring/t]] + Jobs[[#This Row],[overhead/t]] + Jobs[[#This Row],[Extras]]</f>
        <v>448299.85199999996</v>
      </c>
      <c r="T77" s="2">
        <f>S77*(1+Settings!$D$5)</f>
        <v>1344899.5559999999</v>
      </c>
      <c r="U77" s="2">
        <f>Jobs[[#This Row],[Sugested Price/t]] - Jobs[[#This Row],[base price/t]]</f>
        <v>896599.70399999991</v>
      </c>
      <c r="V77" s="3">
        <f>IFERROR(Jobs[[#This Row],[Gross margin/t]] / Jobs[[#This Row],[base price/t]], 0)</f>
        <v>2</v>
      </c>
    </row>
    <row r="78" spans="1:22" x14ac:dyDescent="0.25">
      <c r="A78" t="s">
        <v>174</v>
      </c>
      <c r="B78" s="18" t="s">
        <v>336</v>
      </c>
      <c r="C78" s="18">
        <v>1</v>
      </c>
      <c r="D78" t="s">
        <v>130</v>
      </c>
      <c r="E78" t="s">
        <v>5</v>
      </c>
      <c r="F78" t="s">
        <v>22</v>
      </c>
      <c r="G78" s="1">
        <v>120</v>
      </c>
      <c r="J78" s="22">
        <v>0.1875</v>
      </c>
      <c r="K78" s="22"/>
      <c r="L78" s="2"/>
      <c r="M78" s="2">
        <f>_xlfn.LET(
    _xlpm.qty, C78,
    _xlpm.weight_g, G78 + H78 + Jobs[[#This Row],[Flushed/g]],
    _xlpm.material, TRIM(E78),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327600</v>
      </c>
      <c r="N78" s="2">
        <f>_xlfn.LET(
    _xlpm.qty, C78,
    _xlpm.hours, J78*24,
    _xlpm.power_w, _xlfn.XLOOKUP(TRIM(D78), Settings!$F$4:$F$101, Settings!$G$4:$G$101, 120),
    _xlpm.rate, Settings!$D$4,
    _xlpm.qty * _xlpm.hours * (_xlpm.power_w / 1000) * _xlpm.rate
)</f>
        <v>438.48</v>
      </c>
      <c r="O78" s="2">
        <f>_xlfn.LET(
    _xlpm.qty, C78,
    _xlpm.hours, J78*24,
    _xlpm.price, _xlfn.XLOOKUP(TRIM(D78), Settings!$F$4:$F$101, Settings!$H$4:$H$101, 0),
    _xlpm.life, _xlfn.XLOOKUP(TRIM(D78), Settings!$F$4:$F$101, Settings!$I$4:$I$101, 1),
    _xlpm.qty * _xlpm.hours * (_xlpm.price / _xlpm.life)
)</f>
        <v>67500</v>
      </c>
      <c r="P78" s="2">
        <f>_xlfn.LET(
    _xlpm.qty, C78,
    _xlpm.hours, J78*24,
    _xlpm.price, _xlfn.XLOOKUP(TRIM(D78), Settings!$F$4:$F$101, Settings!$H$4:$H$101, 0),
    _xlpm.life, _xlfn.XLOOKUP(TRIM(D78), Settings!$F$4:$F$101, Settings!$I$4:$I$101, 1),
    _xlpm.pct, _xlfn.XLOOKUP(TRIM(D78), Settings!$F$4:$F$101, Settings!$J$4:$J$101, 0),
    _xlpm.qty * _xlpm.hours * (_xlpm.price / _xlpm.life * _xlpm.pct)
)</f>
        <v>3375</v>
      </c>
      <c r="Q78" s="2">
        <f>Jobs[[#This Row],[Post Pro/h]]*Settings!$D$18</f>
        <v>0</v>
      </c>
      <c r="R78" s="2">
        <f>(Jobs[[#This Row],[power/t]]+Jobs[[#This Row],[Matrial/t]]+Jobs[[#This Row],[downturn/t]]+Jobs[[#This Row],[Maintenance/t]]+Jobs[[#This Row],[Coloring/t]]+Jobs[[#This Row],[Extras]])*Settings!$D$12</f>
        <v>119674.04399999999</v>
      </c>
      <c r="S78" s="2">
        <f>Jobs[[#This Row],[Matrial/t]] + Jobs[[#This Row],[power/t]] + Jobs[[#This Row],[downturn/t]] + Jobs[[#This Row],[Maintenance/t]] + Jobs[[#This Row],[Coloring/t]] + Jobs[[#This Row],[overhead/t]] + Jobs[[#This Row],[Extras]]</f>
        <v>518587.52399999998</v>
      </c>
      <c r="T78" s="2">
        <f>S78*(1+Settings!$D$5)</f>
        <v>1555762.5719999999</v>
      </c>
      <c r="U78" s="2">
        <f>Jobs[[#This Row],[Sugested Price/t]] - Jobs[[#This Row],[base price/t]]</f>
        <v>1037175.048</v>
      </c>
      <c r="V78" s="3">
        <f>IFERROR(Jobs[[#This Row],[Gross margin/t]] / Jobs[[#This Row],[base price/t]], 0)</f>
        <v>2</v>
      </c>
    </row>
    <row r="79" spans="1:22" x14ac:dyDescent="0.25">
      <c r="A79" t="s">
        <v>175</v>
      </c>
      <c r="B79" s="18" t="s">
        <v>337</v>
      </c>
      <c r="C79" s="18">
        <v>1</v>
      </c>
      <c r="D79" t="s">
        <v>129</v>
      </c>
      <c r="E79" t="s">
        <v>5</v>
      </c>
      <c r="F79" t="s">
        <v>22</v>
      </c>
      <c r="G79" s="1">
        <v>150</v>
      </c>
      <c r="J79" s="22">
        <v>0.16666666666666666</v>
      </c>
      <c r="K79" s="22"/>
      <c r="L79" s="2"/>
      <c r="M79" s="2">
        <f>_xlfn.LET(
    _xlpm.qty, C79,
    _xlpm.weight_g, G79 + H79 + Jobs[[#This Row],[Flushed/g]],
    _xlpm.material, TRIM(E79),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409500</v>
      </c>
      <c r="N79" s="2">
        <f>_xlfn.LET(
    _xlpm.qty, C79,
    _xlpm.hours, J79*24,
    _xlpm.power_w, _xlfn.XLOOKUP(TRIM(D79), Settings!$F$4:$F$101, Settings!$G$4:$G$101, 120),
    _xlpm.rate, Settings!$D$4,
    _xlpm.qty * _xlpm.hours * (_xlpm.power_w / 1000) * _xlpm.rate
)</f>
        <v>389.76</v>
      </c>
      <c r="O79" s="2">
        <f>_xlfn.LET(
    _xlpm.qty, C79,
    _xlpm.hours, J79*24,
    _xlpm.price, _xlfn.XLOOKUP(TRIM(D79), Settings!$F$4:$F$101, Settings!$H$4:$H$101, 0),
    _xlpm.life, _xlfn.XLOOKUP(TRIM(D79), Settings!$F$4:$F$101, Settings!$I$4:$I$101, 1),
    _xlpm.qty * _xlpm.hours * (_xlpm.price / _xlpm.life)
)</f>
        <v>75200</v>
      </c>
      <c r="P79" s="2">
        <f>_xlfn.LET(
    _xlpm.qty, C79,
    _xlpm.hours, J79*24,
    _xlpm.price, _xlfn.XLOOKUP(TRIM(D79), Settings!$F$4:$F$101, Settings!$H$4:$H$101, 0),
    _xlpm.life, _xlfn.XLOOKUP(TRIM(D79), Settings!$F$4:$F$101, Settings!$I$4:$I$101, 1),
    _xlpm.pct, _xlfn.XLOOKUP(TRIM(D79), Settings!$F$4:$F$101, Settings!$J$4:$J$101, 0),
    _xlpm.qty * _xlpm.hours * (_xlpm.price / _xlpm.life * _xlpm.pct)
)</f>
        <v>3760</v>
      </c>
      <c r="Q79" s="2">
        <f>Jobs[[#This Row],[Post Pro/h]]*Settings!$D$18</f>
        <v>0</v>
      </c>
      <c r="R79" s="2">
        <f>(Jobs[[#This Row],[power/t]]+Jobs[[#This Row],[Matrial/t]]+Jobs[[#This Row],[downturn/t]]+Jobs[[#This Row],[Maintenance/t]]+Jobs[[#This Row],[Coloring/t]]+Jobs[[#This Row],[Extras]])*Settings!$D$12</f>
        <v>146654.92799999999</v>
      </c>
      <c r="S79" s="2">
        <f>Jobs[[#This Row],[Matrial/t]] + Jobs[[#This Row],[power/t]] + Jobs[[#This Row],[downturn/t]] + Jobs[[#This Row],[Maintenance/t]] + Jobs[[#This Row],[Coloring/t]] + Jobs[[#This Row],[overhead/t]] + Jobs[[#This Row],[Extras]]</f>
        <v>635504.68799999997</v>
      </c>
      <c r="T79" s="2">
        <f>S79*(1+Settings!$D$5)</f>
        <v>1906514.0639999998</v>
      </c>
      <c r="U79" s="2">
        <f>Jobs[[#This Row],[Sugested Price/t]] - Jobs[[#This Row],[base price/t]]</f>
        <v>1271009.3759999997</v>
      </c>
      <c r="V79" s="3">
        <f>IFERROR(Jobs[[#This Row],[Gross margin/t]] / Jobs[[#This Row],[base price/t]], 0)</f>
        <v>1.9999999999999996</v>
      </c>
    </row>
    <row r="80" spans="1:22" x14ac:dyDescent="0.25">
      <c r="A80" t="s">
        <v>176</v>
      </c>
      <c r="B80" s="18" t="s">
        <v>338</v>
      </c>
      <c r="C80" s="18">
        <v>1</v>
      </c>
      <c r="D80" t="s">
        <v>129</v>
      </c>
      <c r="E80" t="s">
        <v>5</v>
      </c>
      <c r="F80" t="s">
        <v>22</v>
      </c>
      <c r="G80" s="1">
        <v>231</v>
      </c>
      <c r="J80" s="22">
        <v>0.29375000000000001</v>
      </c>
      <c r="K80" s="22"/>
      <c r="L80" s="2"/>
      <c r="M80" s="2">
        <f>_xlfn.LET(
    _xlpm.qty, C80,
    _xlpm.weight_g, G80 + H80 + Jobs[[#This Row],[Flushed/g]],
    _xlpm.material, TRIM(E80),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630630</v>
      </c>
      <c r="N80" s="2">
        <f>_xlfn.LET(
    _xlpm.qty, C80,
    _xlpm.hours, J80*24,
    _xlpm.power_w, _xlfn.XLOOKUP(TRIM(D80), Settings!$F$4:$F$101, Settings!$G$4:$G$101, 120),
    _xlpm.rate, Settings!$D$4,
    _xlpm.qty * _xlpm.hours * (_xlpm.power_w / 1000) * _xlpm.rate
)</f>
        <v>686.95200000000011</v>
      </c>
      <c r="O80" s="2">
        <f>_xlfn.LET(
    _xlpm.qty, C80,
    _xlpm.hours, J80*24,
    _xlpm.price, _xlfn.XLOOKUP(TRIM(D80), Settings!$F$4:$F$101, Settings!$H$4:$H$101, 0),
    _xlpm.life, _xlfn.XLOOKUP(TRIM(D80), Settings!$F$4:$F$101, Settings!$I$4:$I$101, 1),
    _xlpm.qty * _xlpm.hours * (_xlpm.price / _xlpm.life)
)</f>
        <v>132540</v>
      </c>
      <c r="P80" s="2">
        <f>_xlfn.LET(
    _xlpm.qty, C80,
    _xlpm.hours, J80*24,
    _xlpm.price, _xlfn.XLOOKUP(TRIM(D80), Settings!$F$4:$F$101, Settings!$H$4:$H$101, 0),
    _xlpm.life, _xlfn.XLOOKUP(TRIM(D80), Settings!$F$4:$F$101, Settings!$I$4:$I$101, 1),
    _xlpm.pct, _xlfn.XLOOKUP(TRIM(D80), Settings!$F$4:$F$101, Settings!$J$4:$J$101, 0),
    _xlpm.qty * _xlpm.hours * (_xlpm.price / _xlpm.life * _xlpm.pct)
)</f>
        <v>6627.0000000000009</v>
      </c>
      <c r="Q80" s="2">
        <f>Jobs[[#This Row],[Post Pro/h]]*Settings!$D$18</f>
        <v>0</v>
      </c>
      <c r="R80" s="2">
        <f>(Jobs[[#This Row],[power/t]]+Jobs[[#This Row],[Matrial/t]]+Jobs[[#This Row],[downturn/t]]+Jobs[[#This Row],[Maintenance/t]]+Jobs[[#This Row],[Coloring/t]]+Jobs[[#This Row],[Extras]])*Settings!$D$12</f>
        <v>231145.1856</v>
      </c>
      <c r="S80" s="2">
        <f>Jobs[[#This Row],[Matrial/t]] + Jobs[[#This Row],[power/t]] + Jobs[[#This Row],[downturn/t]] + Jobs[[#This Row],[Maintenance/t]] + Jobs[[#This Row],[Coloring/t]] + Jobs[[#This Row],[overhead/t]] + Jobs[[#This Row],[Extras]]</f>
        <v>1001629.1376</v>
      </c>
      <c r="T80" s="2">
        <f>S80*(1+Settings!$D$5)</f>
        <v>3004887.4128</v>
      </c>
      <c r="U80" s="2">
        <f>Jobs[[#This Row],[Sugested Price/t]] - Jobs[[#This Row],[base price/t]]</f>
        <v>2003258.2752</v>
      </c>
      <c r="V80" s="3">
        <f>IFERROR(Jobs[[#This Row],[Gross margin/t]] / Jobs[[#This Row],[base price/t]], 0)</f>
        <v>2</v>
      </c>
    </row>
    <row r="81" spans="1:22" x14ac:dyDescent="0.25">
      <c r="A81" t="s">
        <v>177</v>
      </c>
      <c r="B81" s="18" t="s">
        <v>339</v>
      </c>
      <c r="C81" s="18">
        <v>1</v>
      </c>
      <c r="D81" t="s">
        <v>129</v>
      </c>
      <c r="E81" t="s">
        <v>5</v>
      </c>
      <c r="F81" t="s">
        <v>22</v>
      </c>
      <c r="G81" s="1">
        <v>95</v>
      </c>
      <c r="J81" s="22">
        <v>0.13194444444444445</v>
      </c>
      <c r="K81" s="22"/>
      <c r="L81" s="2"/>
      <c r="M81" s="2">
        <f>_xlfn.LET(
    _xlpm.qty, C81,
    _xlpm.weight_g, G81 + H81 + Jobs[[#This Row],[Flushed/g]],
    _xlpm.material, TRIM(E81),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259350</v>
      </c>
      <c r="N81" s="2">
        <f>_xlfn.LET(
    _xlpm.qty, C81,
    _xlpm.hours, J81*24,
    _xlpm.power_w, _xlfn.XLOOKUP(TRIM(D81), Settings!$F$4:$F$101, Settings!$G$4:$G$101, 120),
    _xlpm.rate, Settings!$D$4,
    _xlpm.qty * _xlpm.hours * (_xlpm.power_w / 1000) * _xlpm.rate
)</f>
        <v>308.56</v>
      </c>
      <c r="O81" s="2">
        <f>_xlfn.LET(
    _xlpm.qty, C81,
    _xlpm.hours, J81*24,
    _xlpm.price, _xlfn.XLOOKUP(TRIM(D81), Settings!$F$4:$F$101, Settings!$H$4:$H$101, 0),
    _xlpm.life, _xlfn.XLOOKUP(TRIM(D81), Settings!$F$4:$F$101, Settings!$I$4:$I$101, 1),
    _xlpm.qty * _xlpm.hours * (_xlpm.price / _xlpm.life)
)</f>
        <v>59533.333333333336</v>
      </c>
      <c r="P81" s="2">
        <f>_xlfn.LET(
    _xlpm.qty, C81,
    _xlpm.hours, J81*24,
    _xlpm.price, _xlfn.XLOOKUP(TRIM(D81), Settings!$F$4:$F$101, Settings!$H$4:$H$101, 0),
    _xlpm.life, _xlfn.XLOOKUP(TRIM(D81), Settings!$F$4:$F$101, Settings!$I$4:$I$101, 1),
    _xlpm.pct, _xlfn.XLOOKUP(TRIM(D81), Settings!$F$4:$F$101, Settings!$J$4:$J$101, 0),
    _xlpm.qty * _xlpm.hours * (_xlpm.price / _xlpm.life * _xlpm.pct)
)</f>
        <v>2976.666666666667</v>
      </c>
      <c r="Q81" s="2">
        <f>Jobs[[#This Row],[Post Pro/h]]*Settings!$D$18</f>
        <v>0</v>
      </c>
      <c r="R81" s="2">
        <f>(Jobs[[#This Row],[power/t]]+Jobs[[#This Row],[Matrial/t]]+Jobs[[#This Row],[downturn/t]]+Jobs[[#This Row],[Maintenance/t]]+Jobs[[#This Row],[Coloring/t]]+Jobs[[#This Row],[Extras]])*Settings!$D$12</f>
        <v>96650.567999999999</v>
      </c>
      <c r="S81" s="2">
        <f>Jobs[[#This Row],[Matrial/t]] + Jobs[[#This Row],[power/t]] + Jobs[[#This Row],[downturn/t]] + Jobs[[#This Row],[Maintenance/t]] + Jobs[[#This Row],[Coloring/t]] + Jobs[[#This Row],[overhead/t]] + Jobs[[#This Row],[Extras]]</f>
        <v>418819.12800000003</v>
      </c>
      <c r="T81" s="2">
        <f>S81*(1+Settings!$D$5)</f>
        <v>1256457.3840000001</v>
      </c>
      <c r="U81" s="2">
        <f>Jobs[[#This Row],[Sugested Price/t]] - Jobs[[#This Row],[base price/t]]</f>
        <v>837638.25600000005</v>
      </c>
      <c r="V81" s="3">
        <f>IFERROR(Jobs[[#This Row],[Gross margin/t]] / Jobs[[#This Row],[base price/t]], 0)</f>
        <v>2</v>
      </c>
    </row>
    <row r="82" spans="1:22" x14ac:dyDescent="0.25">
      <c r="A82" t="s">
        <v>178</v>
      </c>
      <c r="B82" s="18" t="s">
        <v>340</v>
      </c>
      <c r="C82" s="18">
        <v>1</v>
      </c>
      <c r="D82" t="s">
        <v>129</v>
      </c>
      <c r="E82" t="s">
        <v>5</v>
      </c>
      <c r="F82" t="s">
        <v>22</v>
      </c>
      <c r="G82" s="1">
        <v>10</v>
      </c>
      <c r="J82" s="22">
        <v>3.4722222222222224E-2</v>
      </c>
      <c r="K82" s="22"/>
      <c r="L82" s="2"/>
      <c r="M82" s="2">
        <f>_xlfn.LET(
    _xlpm.qty, C82,
    _xlpm.weight_g, G82 + H82 + Jobs[[#This Row],[Flushed/g]],
    _xlpm.material, TRIM(E82),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27300</v>
      </c>
      <c r="N82" s="2">
        <f>_xlfn.LET(
    _xlpm.qty, C82,
    _xlpm.hours, J82*24,
    _xlpm.power_w, _xlfn.XLOOKUP(TRIM(D82), Settings!$F$4:$F$101, Settings!$G$4:$G$101, 120),
    _xlpm.rate, Settings!$D$4,
    _xlpm.qty * _xlpm.hours * (_xlpm.power_w / 1000) * _xlpm.rate
)</f>
        <v>81.2</v>
      </c>
      <c r="O82" s="2">
        <f>_xlfn.LET(
    _xlpm.qty, C82,
    _xlpm.hours, J82*24,
    _xlpm.price, _xlfn.XLOOKUP(TRIM(D82), Settings!$F$4:$F$101, Settings!$H$4:$H$101, 0),
    _xlpm.life, _xlfn.XLOOKUP(TRIM(D82), Settings!$F$4:$F$101, Settings!$I$4:$I$101, 1),
    _xlpm.qty * _xlpm.hours * (_xlpm.price / _xlpm.life)
)</f>
        <v>15666.666666666668</v>
      </c>
      <c r="P82" s="2">
        <f>_xlfn.LET(
    _xlpm.qty, C82,
    _xlpm.hours, J82*24,
    _xlpm.price, _xlfn.XLOOKUP(TRIM(D82), Settings!$F$4:$F$101, Settings!$H$4:$H$101, 0),
    _xlpm.life, _xlfn.XLOOKUP(TRIM(D82), Settings!$F$4:$F$101, Settings!$I$4:$I$101, 1),
    _xlpm.pct, _xlfn.XLOOKUP(TRIM(D82), Settings!$F$4:$F$101, Settings!$J$4:$J$101, 0),
    _xlpm.qty * _xlpm.hours * (_xlpm.price / _xlpm.life * _xlpm.pct)
)</f>
        <v>783.33333333333337</v>
      </c>
      <c r="Q82" s="2">
        <f>Jobs[[#This Row],[Post Pro/h]]*Settings!$D$18</f>
        <v>0</v>
      </c>
      <c r="R82" s="2">
        <f>(Jobs[[#This Row],[power/t]]+Jobs[[#This Row],[Matrial/t]]+Jobs[[#This Row],[downturn/t]]+Jobs[[#This Row],[Maintenance/t]]+Jobs[[#This Row],[Coloring/t]]+Jobs[[#This Row],[Extras]])*Settings!$D$12</f>
        <v>13149.36</v>
      </c>
      <c r="S82" s="2">
        <f>Jobs[[#This Row],[Matrial/t]] + Jobs[[#This Row],[power/t]] + Jobs[[#This Row],[downturn/t]] + Jobs[[#This Row],[Maintenance/t]] + Jobs[[#This Row],[Coloring/t]] + Jobs[[#This Row],[overhead/t]] + Jobs[[#This Row],[Extras]]</f>
        <v>56980.560000000005</v>
      </c>
      <c r="T82" s="2">
        <f>S82*(1+Settings!$D$5)</f>
        <v>170941.68000000002</v>
      </c>
      <c r="U82" s="2">
        <f>Jobs[[#This Row],[Sugested Price/t]] - Jobs[[#This Row],[base price/t]]</f>
        <v>113961.12000000002</v>
      </c>
      <c r="V82" s="3">
        <f>IFERROR(Jobs[[#This Row],[Gross margin/t]] / Jobs[[#This Row],[base price/t]], 0)</f>
        <v>2.0000000000000004</v>
      </c>
    </row>
    <row r="83" spans="1:22" x14ac:dyDescent="0.25">
      <c r="A83" t="s">
        <v>179</v>
      </c>
      <c r="B83" s="18" t="s">
        <v>341</v>
      </c>
      <c r="C83" s="18">
        <v>1</v>
      </c>
      <c r="D83" t="s">
        <v>129</v>
      </c>
      <c r="E83" t="s">
        <v>5</v>
      </c>
      <c r="F83" t="s">
        <v>22</v>
      </c>
      <c r="G83" s="1">
        <v>9</v>
      </c>
      <c r="J83" s="22">
        <v>2.0833333333333332E-2</v>
      </c>
      <c r="K83" s="22"/>
      <c r="L83" s="2"/>
      <c r="M83" s="2">
        <f>_xlfn.LET(
    _xlpm.qty, C83,
    _xlpm.weight_g, G83 + H83 + Jobs[[#This Row],[Flushed/g]],
    _xlpm.material, TRIM(E83),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24570</v>
      </c>
      <c r="N83" s="2">
        <f>_xlfn.LET(
    _xlpm.qty, C83,
    _xlpm.hours, J83*24,
    _xlpm.power_w, _xlfn.XLOOKUP(TRIM(D83), Settings!$F$4:$F$101, Settings!$G$4:$G$101, 120),
    _xlpm.rate, Settings!$D$4,
    _xlpm.qty * _xlpm.hours * (_xlpm.power_w / 1000) * _xlpm.rate
)</f>
        <v>48.72</v>
      </c>
      <c r="O83" s="2">
        <f>_xlfn.LET(
    _xlpm.qty, C83,
    _xlpm.hours, J83*24,
    _xlpm.price, _xlfn.XLOOKUP(TRIM(D83), Settings!$F$4:$F$101, Settings!$H$4:$H$101, 0),
    _xlpm.life, _xlfn.XLOOKUP(TRIM(D83), Settings!$F$4:$F$101, Settings!$I$4:$I$101, 1),
    _xlpm.qty * _xlpm.hours * (_xlpm.price / _xlpm.life)
)</f>
        <v>9400</v>
      </c>
      <c r="P83" s="2">
        <f>_xlfn.LET(
    _xlpm.qty, C83,
    _xlpm.hours, J83*24,
    _xlpm.price, _xlfn.XLOOKUP(TRIM(D83), Settings!$F$4:$F$101, Settings!$H$4:$H$101, 0),
    _xlpm.life, _xlfn.XLOOKUP(TRIM(D83), Settings!$F$4:$F$101, Settings!$I$4:$I$101, 1),
    _xlpm.pct, _xlfn.XLOOKUP(TRIM(D83), Settings!$F$4:$F$101, Settings!$J$4:$J$101, 0),
    _xlpm.qty * _xlpm.hours * (_xlpm.price / _xlpm.life * _xlpm.pct)
)</f>
        <v>470</v>
      </c>
      <c r="Q83" s="2">
        <f>Jobs[[#This Row],[Post Pro/h]]*Settings!$D$18</f>
        <v>0</v>
      </c>
      <c r="R83" s="2">
        <f>(Jobs[[#This Row],[power/t]]+Jobs[[#This Row],[Matrial/t]]+Jobs[[#This Row],[downturn/t]]+Jobs[[#This Row],[Maintenance/t]]+Jobs[[#This Row],[Coloring/t]]+Jobs[[#This Row],[Extras]])*Settings!$D$12</f>
        <v>10346.616</v>
      </c>
      <c r="S83" s="2">
        <f>Jobs[[#This Row],[Matrial/t]] + Jobs[[#This Row],[power/t]] + Jobs[[#This Row],[downturn/t]] + Jobs[[#This Row],[Maintenance/t]] + Jobs[[#This Row],[Coloring/t]] + Jobs[[#This Row],[overhead/t]] + Jobs[[#This Row],[Extras]]</f>
        <v>44835.336000000003</v>
      </c>
      <c r="T83" s="2">
        <f>S83*(1+Settings!$D$5)</f>
        <v>134506.008</v>
      </c>
      <c r="U83" s="2">
        <f>Jobs[[#This Row],[Sugested Price/t]] - Jobs[[#This Row],[base price/t]]</f>
        <v>89670.671999999991</v>
      </c>
      <c r="V83" s="3">
        <f>IFERROR(Jobs[[#This Row],[Gross margin/t]] / Jobs[[#This Row],[base price/t]], 0)</f>
        <v>1.9999999999999998</v>
      </c>
    </row>
    <row r="84" spans="1:22" x14ac:dyDescent="0.25">
      <c r="A84" t="s">
        <v>160</v>
      </c>
      <c r="B84" s="18" t="s">
        <v>342</v>
      </c>
      <c r="C84" s="18">
        <v>1</v>
      </c>
      <c r="D84" t="s">
        <v>129</v>
      </c>
      <c r="E84" t="s">
        <v>5</v>
      </c>
      <c r="F84" t="s">
        <v>22</v>
      </c>
      <c r="J84" s="22"/>
      <c r="K84" s="22"/>
      <c r="L84" s="2"/>
      <c r="M84" s="2">
        <f>_xlfn.LET(
    _xlpm.qty, C84,
    _xlpm.weight_g, G84 + H84 + Jobs[[#This Row],[Flushed/g]],
    _xlpm.material, TRIM(E84),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84" s="2">
        <f>_xlfn.LET(
    _xlpm.qty, C84,
    _xlpm.hours, J84*24,
    _xlpm.power_w, _xlfn.XLOOKUP(TRIM(D84), Settings!$F$4:$F$101, Settings!$G$4:$G$101, 120),
    _xlpm.rate, Settings!$D$4,
    _xlpm.qty * _xlpm.hours * (_xlpm.power_w / 1000) * _xlpm.rate
)</f>
        <v>0</v>
      </c>
      <c r="O84" s="2">
        <f>_xlfn.LET(
    _xlpm.qty, C84,
    _xlpm.hours, J84*24,
    _xlpm.price, _xlfn.XLOOKUP(TRIM(D84), Settings!$F$4:$F$101, Settings!$H$4:$H$101, 0),
    _xlpm.life, _xlfn.XLOOKUP(TRIM(D84), Settings!$F$4:$F$101, Settings!$I$4:$I$101, 1),
    _xlpm.qty * _xlpm.hours * (_xlpm.price / _xlpm.life)
)</f>
        <v>0</v>
      </c>
      <c r="P84" s="2">
        <f>_xlfn.LET(
    _xlpm.qty, C84,
    _xlpm.hours, J84*24,
    _xlpm.price, _xlfn.XLOOKUP(TRIM(D84), Settings!$F$4:$F$101, Settings!$H$4:$H$101, 0),
    _xlpm.life, _xlfn.XLOOKUP(TRIM(D84), Settings!$F$4:$F$101, Settings!$I$4:$I$101, 1),
    _xlpm.pct, _xlfn.XLOOKUP(TRIM(D84), Settings!$F$4:$F$101, Settings!$J$4:$J$101, 0),
    _xlpm.qty * _xlpm.hours * (_xlpm.price / _xlpm.life * _xlpm.pct)
)</f>
        <v>0</v>
      </c>
      <c r="Q84" s="2">
        <f>Jobs[[#This Row],[Post Pro/h]]*Settings!$D$18</f>
        <v>0</v>
      </c>
      <c r="R84" s="2">
        <f>(Jobs[[#This Row],[power/t]]+Jobs[[#This Row],[Matrial/t]]+Jobs[[#This Row],[downturn/t]]+Jobs[[#This Row],[Maintenance/t]]+Jobs[[#This Row],[Coloring/t]]+Jobs[[#This Row],[Extras]])*Settings!$D$12</f>
        <v>0</v>
      </c>
      <c r="S84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84" s="2">
        <f>S84*(1+Settings!$D$5)</f>
        <v>0</v>
      </c>
      <c r="U84" s="2">
        <f>Jobs[[#This Row],[Sugested Price/t]] - Jobs[[#This Row],[base price/t]]</f>
        <v>0</v>
      </c>
      <c r="V84" s="3">
        <f>IFERROR(Jobs[[#This Row],[Gross margin/t]] / Jobs[[#This Row],[base price/t]], 0)</f>
        <v>0</v>
      </c>
    </row>
    <row r="85" spans="1:22" x14ac:dyDescent="0.25">
      <c r="A85" t="s">
        <v>180</v>
      </c>
      <c r="B85" s="18" t="s">
        <v>343</v>
      </c>
      <c r="C85" s="18">
        <v>1</v>
      </c>
      <c r="D85" t="s">
        <v>129</v>
      </c>
      <c r="E85" t="s">
        <v>5</v>
      </c>
      <c r="F85" t="s">
        <v>22</v>
      </c>
      <c r="G85" s="1">
        <v>128</v>
      </c>
      <c r="J85" s="22">
        <v>0.1875</v>
      </c>
      <c r="K85" s="22"/>
      <c r="L85" s="2"/>
      <c r="M85" s="2">
        <f>_xlfn.LET(
    _xlpm.qty, C85,
    _xlpm.weight_g, G85 + H85 + Jobs[[#This Row],[Flushed/g]],
    _xlpm.material, TRIM(E85),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349440</v>
      </c>
      <c r="N85" s="2">
        <f>_xlfn.LET(
    _xlpm.qty, C85,
    _xlpm.hours, J85*24,
    _xlpm.power_w, _xlfn.XLOOKUP(TRIM(D85), Settings!$F$4:$F$101, Settings!$G$4:$G$101, 120),
    _xlpm.rate, Settings!$D$4,
    _xlpm.qty * _xlpm.hours * (_xlpm.power_w / 1000) * _xlpm.rate
)</f>
        <v>438.48</v>
      </c>
      <c r="O85" s="2">
        <f>_xlfn.LET(
    _xlpm.qty, C85,
    _xlpm.hours, J85*24,
    _xlpm.price, _xlfn.XLOOKUP(TRIM(D85), Settings!$F$4:$F$101, Settings!$H$4:$H$101, 0),
    _xlpm.life, _xlfn.XLOOKUP(TRIM(D85), Settings!$F$4:$F$101, Settings!$I$4:$I$101, 1),
    _xlpm.qty * _xlpm.hours * (_xlpm.price / _xlpm.life)
)</f>
        <v>84600</v>
      </c>
      <c r="P85" s="2">
        <f>_xlfn.LET(
    _xlpm.qty, C85,
    _xlpm.hours, J85*24,
    _xlpm.price, _xlfn.XLOOKUP(TRIM(D85), Settings!$F$4:$F$101, Settings!$H$4:$H$101, 0),
    _xlpm.life, _xlfn.XLOOKUP(TRIM(D85), Settings!$F$4:$F$101, Settings!$I$4:$I$101, 1),
    _xlpm.pct, _xlfn.XLOOKUP(TRIM(D85), Settings!$F$4:$F$101, Settings!$J$4:$J$101, 0),
    _xlpm.qty * _xlpm.hours * (_xlpm.price / _xlpm.life * _xlpm.pct)
)</f>
        <v>4230</v>
      </c>
      <c r="Q85" s="2">
        <f>Jobs[[#This Row],[Post Pro/h]]*Settings!$D$18</f>
        <v>0</v>
      </c>
      <c r="R85" s="2">
        <f>(Jobs[[#This Row],[power/t]]+Jobs[[#This Row],[Matrial/t]]+Jobs[[#This Row],[downturn/t]]+Jobs[[#This Row],[Maintenance/t]]+Jobs[[#This Row],[Coloring/t]]+Jobs[[#This Row],[Extras]])*Settings!$D$12</f>
        <v>131612.54399999999</v>
      </c>
      <c r="S85" s="2">
        <f>Jobs[[#This Row],[Matrial/t]] + Jobs[[#This Row],[power/t]] + Jobs[[#This Row],[downturn/t]] + Jobs[[#This Row],[Maintenance/t]] + Jobs[[#This Row],[Coloring/t]] + Jobs[[#This Row],[overhead/t]] + Jobs[[#This Row],[Extras]]</f>
        <v>570321.02399999998</v>
      </c>
      <c r="T85" s="2">
        <f>S85*(1+Settings!$D$5)</f>
        <v>1710963.0719999999</v>
      </c>
      <c r="U85" s="2">
        <f>Jobs[[#This Row],[Sugested Price/t]] - Jobs[[#This Row],[base price/t]]</f>
        <v>1140642.048</v>
      </c>
      <c r="V85" s="3">
        <f>IFERROR(Jobs[[#This Row],[Gross margin/t]] / Jobs[[#This Row],[base price/t]], 0)</f>
        <v>2</v>
      </c>
    </row>
    <row r="86" spans="1:22" x14ac:dyDescent="0.25">
      <c r="A86" t="s">
        <v>181</v>
      </c>
      <c r="B86" s="18" t="s">
        <v>344</v>
      </c>
      <c r="C86" s="18">
        <v>1</v>
      </c>
      <c r="D86" t="s">
        <v>129</v>
      </c>
      <c r="E86" t="s">
        <v>5</v>
      </c>
      <c r="F86" t="s">
        <v>22</v>
      </c>
      <c r="J86" s="22"/>
      <c r="K86" s="22"/>
      <c r="L86" s="2"/>
      <c r="M86" s="2">
        <f>_xlfn.LET(
    _xlpm.qty, C86,
    _xlpm.weight_g, G86 + H86 + Jobs[[#This Row],[Flushed/g]],
    _xlpm.material, TRIM(E86),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86" s="2">
        <f>_xlfn.LET(
    _xlpm.qty, C86,
    _xlpm.hours, J86*24,
    _xlpm.power_w, _xlfn.XLOOKUP(TRIM(D86), Settings!$F$4:$F$101, Settings!$G$4:$G$101, 120),
    _xlpm.rate, Settings!$D$4,
    _xlpm.qty * _xlpm.hours * (_xlpm.power_w / 1000) * _xlpm.rate
)</f>
        <v>0</v>
      </c>
      <c r="O86" s="2">
        <f>_xlfn.LET(
    _xlpm.qty, C86,
    _xlpm.hours, J86*24,
    _xlpm.price, _xlfn.XLOOKUP(TRIM(D86), Settings!$F$4:$F$101, Settings!$H$4:$H$101, 0),
    _xlpm.life, _xlfn.XLOOKUP(TRIM(D86), Settings!$F$4:$F$101, Settings!$I$4:$I$101, 1),
    _xlpm.qty * _xlpm.hours * (_xlpm.price / _xlpm.life)
)</f>
        <v>0</v>
      </c>
      <c r="P86" s="2">
        <f>_xlfn.LET(
    _xlpm.qty, C86,
    _xlpm.hours, J86*24,
    _xlpm.price, _xlfn.XLOOKUP(TRIM(D86), Settings!$F$4:$F$101, Settings!$H$4:$H$101, 0),
    _xlpm.life, _xlfn.XLOOKUP(TRIM(D86), Settings!$F$4:$F$101, Settings!$I$4:$I$101, 1),
    _xlpm.pct, _xlfn.XLOOKUP(TRIM(D86), Settings!$F$4:$F$101, Settings!$J$4:$J$101, 0),
    _xlpm.qty * _xlpm.hours * (_xlpm.price / _xlpm.life * _xlpm.pct)
)</f>
        <v>0</v>
      </c>
      <c r="Q86" s="2">
        <f>Jobs[[#This Row],[Post Pro/h]]*Settings!$D$18</f>
        <v>0</v>
      </c>
      <c r="R86" s="2">
        <f>(Jobs[[#This Row],[power/t]]+Jobs[[#This Row],[Matrial/t]]+Jobs[[#This Row],[downturn/t]]+Jobs[[#This Row],[Maintenance/t]]+Jobs[[#This Row],[Coloring/t]]+Jobs[[#This Row],[Extras]])*Settings!$D$12</f>
        <v>0</v>
      </c>
      <c r="S86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86" s="2">
        <f>S86*(1+Settings!$D$5)</f>
        <v>0</v>
      </c>
      <c r="U86" s="2">
        <f>Jobs[[#This Row],[Sugested Price/t]] - Jobs[[#This Row],[base price/t]]</f>
        <v>0</v>
      </c>
      <c r="V86" s="3">
        <f>IFERROR(Jobs[[#This Row],[Gross margin/t]] / Jobs[[#This Row],[base price/t]], 0)</f>
        <v>0</v>
      </c>
    </row>
    <row r="87" spans="1:22" x14ac:dyDescent="0.25">
      <c r="A87" t="s">
        <v>182</v>
      </c>
      <c r="B87" s="18" t="s">
        <v>345</v>
      </c>
      <c r="C87" s="18">
        <v>1</v>
      </c>
      <c r="D87" t="s">
        <v>129</v>
      </c>
      <c r="E87" t="s">
        <v>5</v>
      </c>
      <c r="F87" t="s">
        <v>22</v>
      </c>
      <c r="G87" s="1">
        <v>75</v>
      </c>
      <c r="J87" s="22">
        <v>9.375E-2</v>
      </c>
      <c r="K87" s="22"/>
      <c r="L87" s="2"/>
      <c r="M87" s="2">
        <f>_xlfn.LET(
    _xlpm.qty, C87,
    _xlpm.weight_g, G87 + H87 + Jobs[[#This Row],[Flushed/g]],
    _xlpm.material, TRIM(E87),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204750</v>
      </c>
      <c r="N87" s="2">
        <f>_xlfn.LET(
    _xlpm.qty, C87,
    _xlpm.hours, J87*24,
    _xlpm.power_w, _xlfn.XLOOKUP(TRIM(D87), Settings!$F$4:$F$101, Settings!$G$4:$G$101, 120),
    _xlpm.rate, Settings!$D$4,
    _xlpm.qty * _xlpm.hours * (_xlpm.power_w / 1000) * _xlpm.rate
)</f>
        <v>219.24</v>
      </c>
      <c r="O87" s="2">
        <f>_xlfn.LET(
    _xlpm.qty, C87,
    _xlpm.hours, J87*24,
    _xlpm.price, _xlfn.XLOOKUP(TRIM(D87), Settings!$F$4:$F$101, Settings!$H$4:$H$101, 0),
    _xlpm.life, _xlfn.XLOOKUP(TRIM(D87), Settings!$F$4:$F$101, Settings!$I$4:$I$101, 1),
    _xlpm.qty * _xlpm.hours * (_xlpm.price / _xlpm.life)
)</f>
        <v>42300</v>
      </c>
      <c r="P87" s="2">
        <f>_xlfn.LET(
    _xlpm.qty, C87,
    _xlpm.hours, J87*24,
    _xlpm.price, _xlfn.XLOOKUP(TRIM(D87), Settings!$F$4:$F$101, Settings!$H$4:$H$101, 0),
    _xlpm.life, _xlfn.XLOOKUP(TRIM(D87), Settings!$F$4:$F$101, Settings!$I$4:$I$101, 1),
    _xlpm.pct, _xlfn.XLOOKUP(TRIM(D87), Settings!$F$4:$F$101, Settings!$J$4:$J$101, 0),
    _xlpm.qty * _xlpm.hours * (_xlpm.price / _xlpm.life * _xlpm.pct)
)</f>
        <v>2115</v>
      </c>
      <c r="Q87" s="2">
        <f>Jobs[[#This Row],[Post Pro/h]]*Settings!$D$18</f>
        <v>0</v>
      </c>
      <c r="R87" s="2">
        <f>(Jobs[[#This Row],[power/t]]+Jobs[[#This Row],[Matrial/t]]+Jobs[[#This Row],[downturn/t]]+Jobs[[#This Row],[Maintenance/t]]+Jobs[[#This Row],[Coloring/t]]+Jobs[[#This Row],[Extras]])*Settings!$D$12</f>
        <v>74815.271999999997</v>
      </c>
      <c r="S87" s="2">
        <f>Jobs[[#This Row],[Matrial/t]] + Jobs[[#This Row],[power/t]] + Jobs[[#This Row],[downturn/t]] + Jobs[[#This Row],[Maintenance/t]] + Jobs[[#This Row],[Coloring/t]] + Jobs[[#This Row],[overhead/t]] + Jobs[[#This Row],[Extras]]</f>
        <v>324199.51199999999</v>
      </c>
      <c r="T87" s="2">
        <f>S87*(1+Settings!$D$5)</f>
        <v>972598.53599999996</v>
      </c>
      <c r="U87" s="2">
        <f>Jobs[[#This Row],[Sugested Price/t]] - Jobs[[#This Row],[base price/t]]</f>
        <v>648399.02399999998</v>
      </c>
      <c r="V87" s="3">
        <f>IFERROR(Jobs[[#This Row],[Gross margin/t]] / Jobs[[#This Row],[base price/t]], 0)</f>
        <v>2</v>
      </c>
    </row>
    <row r="88" spans="1:22" x14ac:dyDescent="0.25">
      <c r="A88" t="s">
        <v>183</v>
      </c>
      <c r="B88" s="18" t="s">
        <v>346</v>
      </c>
      <c r="C88" s="18">
        <v>1</v>
      </c>
      <c r="D88" t="s">
        <v>129</v>
      </c>
      <c r="E88" t="s">
        <v>5</v>
      </c>
      <c r="F88" t="s">
        <v>22</v>
      </c>
      <c r="G88" s="1">
        <v>130</v>
      </c>
      <c r="J88" s="22">
        <v>0.16666666666666666</v>
      </c>
      <c r="K88" s="22"/>
      <c r="L88" s="2"/>
      <c r="M88" s="2">
        <f>_xlfn.LET(
    _xlpm.qty, C88,
    _xlpm.weight_g, G88 + H88 + Jobs[[#This Row],[Flushed/g]],
    _xlpm.material, TRIM(E88),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354900</v>
      </c>
      <c r="N88" s="2">
        <f>_xlfn.LET(
    _xlpm.qty, C88,
    _xlpm.hours, J88*24,
    _xlpm.power_w, _xlfn.XLOOKUP(TRIM(D88), Settings!$F$4:$F$101, Settings!$G$4:$G$101, 120),
    _xlpm.rate, Settings!$D$4,
    _xlpm.qty * _xlpm.hours * (_xlpm.power_w / 1000) * _xlpm.rate
)</f>
        <v>389.76</v>
      </c>
      <c r="O88" s="2">
        <f>_xlfn.LET(
    _xlpm.qty, C88,
    _xlpm.hours, J88*24,
    _xlpm.price, _xlfn.XLOOKUP(TRIM(D88), Settings!$F$4:$F$101, Settings!$H$4:$H$101, 0),
    _xlpm.life, _xlfn.XLOOKUP(TRIM(D88), Settings!$F$4:$F$101, Settings!$I$4:$I$101, 1),
    _xlpm.qty * _xlpm.hours * (_xlpm.price / _xlpm.life)
)</f>
        <v>75200</v>
      </c>
      <c r="P88" s="2">
        <f>_xlfn.LET(
    _xlpm.qty, C88,
    _xlpm.hours, J88*24,
    _xlpm.price, _xlfn.XLOOKUP(TRIM(D88), Settings!$F$4:$F$101, Settings!$H$4:$H$101, 0),
    _xlpm.life, _xlfn.XLOOKUP(TRIM(D88), Settings!$F$4:$F$101, Settings!$I$4:$I$101, 1),
    _xlpm.pct, _xlfn.XLOOKUP(TRIM(D88), Settings!$F$4:$F$101, Settings!$J$4:$J$101, 0),
    _xlpm.qty * _xlpm.hours * (_xlpm.price / _xlpm.life * _xlpm.pct)
)</f>
        <v>3760</v>
      </c>
      <c r="Q88" s="2">
        <f>Jobs[[#This Row],[Post Pro/h]]*Settings!$D$18</f>
        <v>0</v>
      </c>
      <c r="R88" s="2">
        <f>(Jobs[[#This Row],[power/t]]+Jobs[[#This Row],[Matrial/t]]+Jobs[[#This Row],[downturn/t]]+Jobs[[#This Row],[Maintenance/t]]+Jobs[[#This Row],[Coloring/t]]+Jobs[[#This Row],[Extras]])*Settings!$D$12</f>
        <v>130274.928</v>
      </c>
      <c r="S88" s="2">
        <f>Jobs[[#This Row],[Matrial/t]] + Jobs[[#This Row],[power/t]] + Jobs[[#This Row],[downturn/t]] + Jobs[[#This Row],[Maintenance/t]] + Jobs[[#This Row],[Coloring/t]] + Jobs[[#This Row],[overhead/t]] + Jobs[[#This Row],[Extras]]</f>
        <v>564524.68799999997</v>
      </c>
      <c r="T88" s="2">
        <f>S88*(1+Settings!$D$5)</f>
        <v>1693574.0639999998</v>
      </c>
      <c r="U88" s="2">
        <f>Jobs[[#This Row],[Sugested Price/t]] - Jobs[[#This Row],[base price/t]]</f>
        <v>1129049.3759999997</v>
      </c>
      <c r="V88" s="3">
        <f>IFERROR(Jobs[[#This Row],[Gross margin/t]] / Jobs[[#This Row],[base price/t]], 0)</f>
        <v>1.9999999999999996</v>
      </c>
    </row>
    <row r="89" spans="1:22" x14ac:dyDescent="0.25">
      <c r="A89" t="s">
        <v>184</v>
      </c>
      <c r="B89" s="18" t="s">
        <v>347</v>
      </c>
      <c r="C89" s="18">
        <v>1</v>
      </c>
      <c r="D89" t="s">
        <v>129</v>
      </c>
      <c r="E89" t="s">
        <v>5</v>
      </c>
      <c r="F89" t="s">
        <v>22</v>
      </c>
      <c r="G89" s="1">
        <v>740</v>
      </c>
      <c r="J89" s="37">
        <v>0.875</v>
      </c>
      <c r="K89" s="22"/>
      <c r="L89" s="2"/>
      <c r="M89" s="2">
        <f>_xlfn.LET(
    _xlpm.qty, C89,
    _xlpm.weight_g, G89 + H89 + Jobs[[#This Row],[Flushed/g]],
    _xlpm.material, TRIM(E89),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2020200</v>
      </c>
      <c r="N89" s="2">
        <f>_xlfn.LET(
    _xlpm.qty, C89,
    _xlpm.hours, J89*24,
    _xlpm.power_w, _xlfn.XLOOKUP(TRIM(D89), Settings!$F$4:$F$101, Settings!$G$4:$G$101, 120),
    _xlpm.rate, Settings!$D$4,
    _xlpm.qty * _xlpm.hours * (_xlpm.power_w / 1000) * _xlpm.rate
)</f>
        <v>2046.24</v>
      </c>
      <c r="O89" s="2">
        <f>_xlfn.LET(
    _xlpm.qty, C89,
    _xlpm.hours, J89*24,
    _xlpm.price, _xlfn.XLOOKUP(TRIM(D89), Settings!$F$4:$F$101, Settings!$H$4:$H$101, 0),
    _xlpm.life, _xlfn.XLOOKUP(TRIM(D89), Settings!$F$4:$F$101, Settings!$I$4:$I$101, 1),
    _xlpm.qty * _xlpm.hours * (_xlpm.price / _xlpm.life)
)</f>
        <v>394800</v>
      </c>
      <c r="P89" s="2">
        <f>_xlfn.LET(
    _xlpm.qty, C89,
    _xlpm.hours, J89*24,
    _xlpm.price, _xlfn.XLOOKUP(TRIM(D89), Settings!$F$4:$F$101, Settings!$H$4:$H$101, 0),
    _xlpm.life, _xlfn.XLOOKUP(TRIM(D89), Settings!$F$4:$F$101, Settings!$I$4:$I$101, 1),
    _xlpm.pct, _xlfn.XLOOKUP(TRIM(D89), Settings!$F$4:$F$101, Settings!$J$4:$J$101, 0),
    _xlpm.qty * _xlpm.hours * (_xlpm.price / _xlpm.life * _xlpm.pct)
)</f>
        <v>19740</v>
      </c>
      <c r="Q89" s="2">
        <f>Jobs[[#This Row],[Post Pro/h]]*Settings!$D$18</f>
        <v>0</v>
      </c>
      <c r="R89" s="2">
        <f>(Jobs[[#This Row],[power/t]]+Jobs[[#This Row],[Matrial/t]]+Jobs[[#This Row],[downturn/t]]+Jobs[[#This Row],[Maintenance/t]]+Jobs[[#This Row],[Coloring/t]]+Jobs[[#This Row],[Extras]])*Settings!$D$12</f>
        <v>731035.87200000009</v>
      </c>
      <c r="S89" s="2">
        <f>Jobs[[#This Row],[Matrial/t]] + Jobs[[#This Row],[power/t]] + Jobs[[#This Row],[downturn/t]] + Jobs[[#This Row],[Maintenance/t]] + Jobs[[#This Row],[Coloring/t]] + Jobs[[#This Row],[overhead/t]] + Jobs[[#This Row],[Extras]]</f>
        <v>3167822.1120000002</v>
      </c>
      <c r="T89" s="2">
        <f>S89*(1+Settings!$D$5)</f>
        <v>9503466.3360000011</v>
      </c>
      <c r="U89" s="2">
        <f>Jobs[[#This Row],[Sugested Price/t]] - Jobs[[#This Row],[base price/t]]</f>
        <v>6335644.2240000013</v>
      </c>
      <c r="V89" s="3">
        <f>IFERROR(Jobs[[#This Row],[Gross margin/t]] / Jobs[[#This Row],[base price/t]], 0)</f>
        <v>2.0000000000000004</v>
      </c>
    </row>
    <row r="90" spans="1:22" x14ac:dyDescent="0.25">
      <c r="A90" t="s">
        <v>185</v>
      </c>
      <c r="B90" s="18" t="s">
        <v>348</v>
      </c>
      <c r="C90" s="18">
        <v>1</v>
      </c>
      <c r="D90" t="s">
        <v>129</v>
      </c>
      <c r="E90" t="s">
        <v>5</v>
      </c>
      <c r="F90" t="s">
        <v>22</v>
      </c>
      <c r="G90" s="1">
        <v>354</v>
      </c>
      <c r="J90" s="37">
        <v>0.39583333333333331</v>
      </c>
      <c r="K90" s="22"/>
      <c r="L90" s="2"/>
      <c r="M90" s="2">
        <f>_xlfn.LET(
    _xlpm.qty, C90,
    _xlpm.weight_g, G90 + H90 + Jobs[[#This Row],[Flushed/g]],
    _xlpm.material, TRIM(E90),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966420</v>
      </c>
      <c r="N90" s="2">
        <f>_xlfn.LET(
    _xlpm.qty, C90,
    _xlpm.hours, J90*24,
    _xlpm.power_w, _xlfn.XLOOKUP(TRIM(D90), Settings!$F$4:$F$101, Settings!$G$4:$G$101, 120),
    _xlpm.rate, Settings!$D$4,
    _xlpm.qty * _xlpm.hours * (_xlpm.power_w / 1000) * _xlpm.rate
)</f>
        <v>925.68</v>
      </c>
      <c r="O90" s="2">
        <f>_xlfn.LET(
    _xlpm.qty, C90,
    _xlpm.hours, J90*24,
    _xlpm.price, _xlfn.XLOOKUP(TRIM(D90), Settings!$F$4:$F$101, Settings!$H$4:$H$101, 0),
    _xlpm.life, _xlfn.XLOOKUP(TRIM(D90), Settings!$F$4:$F$101, Settings!$I$4:$I$101, 1),
    _xlpm.qty * _xlpm.hours * (_xlpm.price / _xlpm.life)
)</f>
        <v>178600</v>
      </c>
      <c r="P90" s="2">
        <f>_xlfn.LET(
    _xlpm.qty, C90,
    _xlpm.hours, J90*24,
    _xlpm.price, _xlfn.XLOOKUP(TRIM(D90), Settings!$F$4:$F$101, Settings!$H$4:$H$101, 0),
    _xlpm.life, _xlfn.XLOOKUP(TRIM(D90), Settings!$F$4:$F$101, Settings!$I$4:$I$101, 1),
    _xlpm.pct, _xlfn.XLOOKUP(TRIM(D90), Settings!$F$4:$F$101, Settings!$J$4:$J$101, 0),
    _xlpm.qty * _xlpm.hours * (_xlpm.price / _xlpm.life * _xlpm.pct)
)</f>
        <v>8930</v>
      </c>
      <c r="Q90" s="2">
        <f>Jobs[[#This Row],[Post Pro/h]]*Settings!$D$18</f>
        <v>0</v>
      </c>
      <c r="R90" s="2">
        <f>(Jobs[[#This Row],[power/t]]+Jobs[[#This Row],[Matrial/t]]+Jobs[[#This Row],[downturn/t]]+Jobs[[#This Row],[Maintenance/t]]+Jobs[[#This Row],[Coloring/t]]+Jobs[[#This Row],[Extras]])*Settings!$D$12</f>
        <v>346462.70400000003</v>
      </c>
      <c r="S90" s="2">
        <f>Jobs[[#This Row],[Matrial/t]] + Jobs[[#This Row],[power/t]] + Jobs[[#This Row],[downturn/t]] + Jobs[[#This Row],[Maintenance/t]] + Jobs[[#This Row],[Coloring/t]] + Jobs[[#This Row],[overhead/t]] + Jobs[[#This Row],[Extras]]</f>
        <v>1501338.3840000001</v>
      </c>
      <c r="T90" s="2">
        <f>S90*(1+Settings!$D$5)</f>
        <v>4504015.1520000007</v>
      </c>
      <c r="U90" s="2">
        <f>Jobs[[#This Row],[Sugested Price/t]] - Jobs[[#This Row],[base price/t]]</f>
        <v>3002676.7680000006</v>
      </c>
      <c r="V90" s="3">
        <f>IFERROR(Jobs[[#This Row],[Gross margin/t]] / Jobs[[#This Row],[base price/t]], 0)</f>
        <v>2.0000000000000004</v>
      </c>
    </row>
    <row r="91" spans="1:22" x14ac:dyDescent="0.25">
      <c r="A91" t="s">
        <v>186</v>
      </c>
      <c r="B91" s="18" t="s">
        <v>349</v>
      </c>
      <c r="C91" s="18">
        <v>1</v>
      </c>
      <c r="D91" t="s">
        <v>129</v>
      </c>
      <c r="E91" t="s">
        <v>5</v>
      </c>
      <c r="F91" t="s">
        <v>22</v>
      </c>
      <c r="G91" s="1">
        <v>28</v>
      </c>
      <c r="J91" s="37">
        <v>3.4722222222222224E-2</v>
      </c>
      <c r="K91" s="22"/>
      <c r="L91" s="2"/>
      <c r="M91" s="2">
        <f>_xlfn.LET(
    _xlpm.qty, C91,
    _xlpm.weight_g, G91 + H91 + Jobs[[#This Row],[Flushed/g]],
    _xlpm.material, TRIM(E91),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76440</v>
      </c>
      <c r="N91" s="2">
        <f>_xlfn.LET(
    _xlpm.qty, C91,
    _xlpm.hours, J91*24,
    _xlpm.power_w, _xlfn.XLOOKUP(TRIM(D91), Settings!$F$4:$F$101, Settings!$G$4:$G$101, 120),
    _xlpm.rate, Settings!$D$4,
    _xlpm.qty * _xlpm.hours * (_xlpm.power_w / 1000) * _xlpm.rate
)</f>
        <v>81.2</v>
      </c>
      <c r="O91" s="2">
        <f>_xlfn.LET(
    _xlpm.qty, C91,
    _xlpm.hours, J91*24,
    _xlpm.price, _xlfn.XLOOKUP(TRIM(D91), Settings!$F$4:$F$101, Settings!$H$4:$H$101, 0),
    _xlpm.life, _xlfn.XLOOKUP(TRIM(D91), Settings!$F$4:$F$101, Settings!$I$4:$I$101, 1),
    _xlpm.qty * _xlpm.hours * (_xlpm.price / _xlpm.life)
)</f>
        <v>15666.666666666668</v>
      </c>
      <c r="P91" s="2">
        <f>_xlfn.LET(
    _xlpm.qty, C91,
    _xlpm.hours, J91*24,
    _xlpm.price, _xlfn.XLOOKUP(TRIM(D91), Settings!$F$4:$F$101, Settings!$H$4:$H$101, 0),
    _xlpm.life, _xlfn.XLOOKUP(TRIM(D91), Settings!$F$4:$F$101, Settings!$I$4:$I$101, 1),
    _xlpm.pct, _xlfn.XLOOKUP(TRIM(D91), Settings!$F$4:$F$101, Settings!$J$4:$J$101, 0),
    _xlpm.qty * _xlpm.hours * (_xlpm.price / _xlpm.life * _xlpm.pct)
)</f>
        <v>783.33333333333337</v>
      </c>
      <c r="Q91" s="2">
        <f>Jobs[[#This Row],[Post Pro/h]]*Settings!$D$18</f>
        <v>0</v>
      </c>
      <c r="R91" s="2">
        <f>(Jobs[[#This Row],[power/t]]+Jobs[[#This Row],[Matrial/t]]+Jobs[[#This Row],[downturn/t]]+Jobs[[#This Row],[Maintenance/t]]+Jobs[[#This Row],[Coloring/t]]+Jobs[[#This Row],[Extras]])*Settings!$D$12</f>
        <v>27891.359999999997</v>
      </c>
      <c r="S91" s="2">
        <f>Jobs[[#This Row],[Matrial/t]] + Jobs[[#This Row],[power/t]] + Jobs[[#This Row],[downturn/t]] + Jobs[[#This Row],[Maintenance/t]] + Jobs[[#This Row],[Coloring/t]] + Jobs[[#This Row],[overhead/t]] + Jobs[[#This Row],[Extras]]</f>
        <v>120862.56</v>
      </c>
      <c r="T91" s="2">
        <f>S91*(1+Settings!$D$5)</f>
        <v>362587.68</v>
      </c>
      <c r="U91" s="2">
        <f>Jobs[[#This Row],[Sugested Price/t]] - Jobs[[#This Row],[base price/t]]</f>
        <v>241725.12</v>
      </c>
      <c r="V91" s="3">
        <f>IFERROR(Jobs[[#This Row],[Gross margin/t]] / Jobs[[#This Row],[base price/t]], 0)</f>
        <v>2</v>
      </c>
    </row>
    <row r="92" spans="1:22" x14ac:dyDescent="0.25">
      <c r="A92" t="s">
        <v>187</v>
      </c>
      <c r="B92" s="18" t="s">
        <v>350</v>
      </c>
      <c r="C92" s="18">
        <v>1</v>
      </c>
      <c r="D92" t="s">
        <v>129</v>
      </c>
      <c r="E92" t="s">
        <v>5</v>
      </c>
      <c r="F92" t="s">
        <v>22</v>
      </c>
      <c r="G92" s="1">
        <v>740</v>
      </c>
      <c r="J92" s="37">
        <v>0.99930555555555556</v>
      </c>
      <c r="K92" s="22"/>
      <c r="L92" s="2"/>
      <c r="M92" s="2">
        <f>_xlfn.LET(
    _xlpm.qty, C92,
    _xlpm.weight_g, G92 + H92 + Jobs[[#This Row],[Flushed/g]],
    _xlpm.material, TRIM(E92),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2020200</v>
      </c>
      <c r="N92" s="2">
        <f>_xlfn.LET(
    _xlpm.qty, C92,
    _xlpm.hours, J92*24,
    _xlpm.power_w, _xlfn.XLOOKUP(TRIM(D92), Settings!$F$4:$F$101, Settings!$G$4:$G$101, 120),
    _xlpm.rate, Settings!$D$4,
    _xlpm.qty * _xlpm.hours * (_xlpm.power_w / 1000) * _xlpm.rate
)</f>
        <v>2336.9360000000001</v>
      </c>
      <c r="O92" s="2">
        <f>_xlfn.LET(
    _xlpm.qty, C92,
    _xlpm.hours, J92*24,
    _xlpm.price, _xlfn.XLOOKUP(TRIM(D92), Settings!$F$4:$F$101, Settings!$H$4:$H$101, 0),
    _xlpm.life, _xlfn.XLOOKUP(TRIM(D92), Settings!$F$4:$F$101, Settings!$I$4:$I$101, 1),
    _xlpm.qty * _xlpm.hours * (_xlpm.price / _xlpm.life)
)</f>
        <v>450886.66666666669</v>
      </c>
      <c r="P92" s="2">
        <f>_xlfn.LET(
    _xlpm.qty, C92,
    _xlpm.hours, J92*24,
    _xlpm.price, _xlfn.XLOOKUP(TRIM(D92), Settings!$F$4:$F$101, Settings!$H$4:$H$101, 0),
    _xlpm.life, _xlfn.XLOOKUP(TRIM(D92), Settings!$F$4:$F$101, Settings!$I$4:$I$101, 1),
    _xlpm.pct, _xlfn.XLOOKUP(TRIM(D92), Settings!$F$4:$F$101, Settings!$J$4:$J$101, 0),
    _xlpm.qty * _xlpm.hours * (_xlpm.price / _xlpm.life * _xlpm.pct)
)</f>
        <v>22544.333333333336</v>
      </c>
      <c r="Q92" s="2">
        <f>Jobs[[#This Row],[Post Pro/h]]*Settings!$D$18</f>
        <v>0</v>
      </c>
      <c r="R92" s="2">
        <f>(Jobs[[#This Row],[power/t]]+Jobs[[#This Row],[Matrial/t]]+Jobs[[#This Row],[downturn/t]]+Jobs[[#This Row],[Maintenance/t]]+Jobs[[#This Row],[Coloring/t]]+Jobs[[#This Row],[Extras]])*Settings!$D$12</f>
        <v>748790.38080000004</v>
      </c>
      <c r="S92" s="2">
        <f>Jobs[[#This Row],[Matrial/t]] + Jobs[[#This Row],[power/t]] + Jobs[[#This Row],[downturn/t]] + Jobs[[#This Row],[Maintenance/t]] + Jobs[[#This Row],[Coloring/t]] + Jobs[[#This Row],[overhead/t]] + Jobs[[#This Row],[Extras]]</f>
        <v>3244758.3168000001</v>
      </c>
      <c r="T92" s="2">
        <f>S92*(1+Settings!$D$5)</f>
        <v>9734274.9504000004</v>
      </c>
      <c r="U92" s="2">
        <f>Jobs[[#This Row],[Sugested Price/t]] - Jobs[[#This Row],[base price/t]]</f>
        <v>6489516.6336000003</v>
      </c>
      <c r="V92" s="3">
        <f>IFERROR(Jobs[[#This Row],[Gross margin/t]] / Jobs[[#This Row],[base price/t]], 0)</f>
        <v>2</v>
      </c>
    </row>
    <row r="93" spans="1:22" x14ac:dyDescent="0.25">
      <c r="A93" t="s">
        <v>188</v>
      </c>
      <c r="B93" s="18" t="s">
        <v>351</v>
      </c>
      <c r="C93" s="18">
        <v>1</v>
      </c>
      <c r="D93" t="s">
        <v>129</v>
      </c>
      <c r="E93" t="s">
        <v>5</v>
      </c>
      <c r="F93" t="s">
        <v>22</v>
      </c>
      <c r="G93" s="1">
        <v>20</v>
      </c>
      <c r="J93" s="37">
        <v>4.1666666666666664E-2</v>
      </c>
      <c r="K93" s="22"/>
      <c r="L93" s="2"/>
      <c r="M93" s="2">
        <f>_xlfn.LET(
    _xlpm.qty, C93,
    _xlpm.weight_g, G93 + H93 + Jobs[[#This Row],[Flushed/g]],
    _xlpm.material, TRIM(E93),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54600</v>
      </c>
      <c r="N93" s="2">
        <f>_xlfn.LET(
    _xlpm.qty, C93,
    _xlpm.hours, J93*24,
    _xlpm.power_w, _xlfn.XLOOKUP(TRIM(D93), Settings!$F$4:$F$101, Settings!$G$4:$G$101, 120),
    _xlpm.rate, Settings!$D$4,
    _xlpm.qty * _xlpm.hours * (_xlpm.power_w / 1000) * _xlpm.rate
)</f>
        <v>97.44</v>
      </c>
      <c r="O93" s="2">
        <f>_xlfn.LET(
    _xlpm.qty, C93,
    _xlpm.hours, J93*24,
    _xlpm.price, _xlfn.XLOOKUP(TRIM(D93), Settings!$F$4:$F$101, Settings!$H$4:$H$101, 0),
    _xlpm.life, _xlfn.XLOOKUP(TRIM(D93), Settings!$F$4:$F$101, Settings!$I$4:$I$101, 1),
    _xlpm.qty * _xlpm.hours * (_xlpm.price / _xlpm.life)
)</f>
        <v>18800</v>
      </c>
      <c r="P93" s="2">
        <f>_xlfn.LET(
    _xlpm.qty, C93,
    _xlpm.hours, J93*24,
    _xlpm.price, _xlfn.XLOOKUP(TRIM(D93), Settings!$F$4:$F$101, Settings!$H$4:$H$101, 0),
    _xlpm.life, _xlfn.XLOOKUP(TRIM(D93), Settings!$F$4:$F$101, Settings!$I$4:$I$101, 1),
    _xlpm.pct, _xlfn.XLOOKUP(TRIM(D93), Settings!$F$4:$F$101, Settings!$J$4:$J$101, 0),
    _xlpm.qty * _xlpm.hours * (_xlpm.price / _xlpm.life * _xlpm.pct)
)</f>
        <v>940</v>
      </c>
      <c r="Q93" s="2">
        <f>Jobs[[#This Row],[Post Pro/h]]*Settings!$D$18</f>
        <v>0</v>
      </c>
      <c r="R93" s="2">
        <f>(Jobs[[#This Row],[power/t]]+Jobs[[#This Row],[Matrial/t]]+Jobs[[#This Row],[downturn/t]]+Jobs[[#This Row],[Maintenance/t]]+Jobs[[#This Row],[Coloring/t]]+Jobs[[#This Row],[Extras]])*Settings!$D$12</f>
        <v>22331.232</v>
      </c>
      <c r="S93" s="2">
        <f>Jobs[[#This Row],[Matrial/t]] + Jobs[[#This Row],[power/t]] + Jobs[[#This Row],[downturn/t]] + Jobs[[#This Row],[Maintenance/t]] + Jobs[[#This Row],[Coloring/t]] + Jobs[[#This Row],[overhead/t]] + Jobs[[#This Row],[Extras]]</f>
        <v>96768.672000000006</v>
      </c>
      <c r="T93" s="2">
        <f>S93*(1+Settings!$D$5)</f>
        <v>290306.016</v>
      </c>
      <c r="U93" s="2">
        <f>Jobs[[#This Row],[Sugested Price/t]] - Jobs[[#This Row],[base price/t]]</f>
        <v>193537.34399999998</v>
      </c>
      <c r="V93" s="3">
        <f>IFERROR(Jobs[[#This Row],[Gross margin/t]] / Jobs[[#This Row],[base price/t]], 0)</f>
        <v>1.9999999999999998</v>
      </c>
    </row>
    <row r="94" spans="1:22" x14ac:dyDescent="0.25">
      <c r="A94" t="s">
        <v>189</v>
      </c>
      <c r="B94" s="18" t="s">
        <v>352</v>
      </c>
      <c r="C94" s="18">
        <v>1</v>
      </c>
      <c r="D94" t="s">
        <v>129</v>
      </c>
      <c r="E94" t="s">
        <v>5</v>
      </c>
      <c r="F94" t="s">
        <v>22</v>
      </c>
      <c r="G94" s="1">
        <v>35</v>
      </c>
      <c r="J94" s="37">
        <v>7.6388888888888895E-2</v>
      </c>
      <c r="K94" s="22"/>
      <c r="L94" s="2"/>
      <c r="M94" s="2">
        <f>_xlfn.LET(
    _xlpm.qty, C94,
    _xlpm.weight_g, G94 + H94 + Jobs[[#This Row],[Flushed/g]],
    _xlpm.material, TRIM(E94),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95550.000000000015</v>
      </c>
      <c r="N94" s="2">
        <f>_xlfn.LET(
    _xlpm.qty, C94,
    _xlpm.hours, J94*24,
    _xlpm.power_w, _xlfn.XLOOKUP(TRIM(D94), Settings!$F$4:$F$101, Settings!$G$4:$G$101, 120),
    _xlpm.rate, Settings!$D$4,
    _xlpm.qty * _xlpm.hours * (_xlpm.power_w / 1000) * _xlpm.rate
)</f>
        <v>178.64000000000001</v>
      </c>
      <c r="O94" s="2">
        <f>_xlfn.LET(
    _xlpm.qty, C94,
    _xlpm.hours, J94*24,
    _xlpm.price, _xlfn.XLOOKUP(TRIM(D94), Settings!$F$4:$F$101, Settings!$H$4:$H$101, 0),
    _xlpm.life, _xlfn.XLOOKUP(TRIM(D94), Settings!$F$4:$F$101, Settings!$I$4:$I$101, 1),
    _xlpm.qty * _xlpm.hours * (_xlpm.price / _xlpm.life)
)</f>
        <v>34466.666666666672</v>
      </c>
      <c r="P94" s="2">
        <f>_xlfn.LET(
    _xlpm.qty, C94,
    _xlpm.hours, J94*24,
    _xlpm.price, _xlfn.XLOOKUP(TRIM(D94), Settings!$F$4:$F$101, Settings!$H$4:$H$101, 0),
    _xlpm.life, _xlfn.XLOOKUP(TRIM(D94), Settings!$F$4:$F$101, Settings!$I$4:$I$101, 1),
    _xlpm.pct, _xlfn.XLOOKUP(TRIM(D94), Settings!$F$4:$F$101, Settings!$J$4:$J$101, 0),
    _xlpm.qty * _xlpm.hours * (_xlpm.price / _xlpm.life * _xlpm.pct)
)</f>
        <v>1723.3333333333335</v>
      </c>
      <c r="Q94" s="2">
        <f>Jobs[[#This Row],[Post Pro/h]]*Settings!$D$18</f>
        <v>0</v>
      </c>
      <c r="R94" s="2">
        <f>(Jobs[[#This Row],[power/t]]+Jobs[[#This Row],[Matrial/t]]+Jobs[[#This Row],[downturn/t]]+Jobs[[#This Row],[Maintenance/t]]+Jobs[[#This Row],[Coloring/t]]+Jobs[[#This Row],[Extras]])*Settings!$D$12</f>
        <v>39575.592000000004</v>
      </c>
      <c r="S94" s="2">
        <f>Jobs[[#This Row],[Matrial/t]] + Jobs[[#This Row],[power/t]] + Jobs[[#This Row],[downturn/t]] + Jobs[[#This Row],[Maintenance/t]] + Jobs[[#This Row],[Coloring/t]] + Jobs[[#This Row],[overhead/t]] + Jobs[[#This Row],[Extras]]</f>
        <v>171494.23200000002</v>
      </c>
      <c r="T94" s="2">
        <f>S94*(1+Settings!$D$5)</f>
        <v>514482.69600000005</v>
      </c>
      <c r="U94" s="2">
        <f>Jobs[[#This Row],[Sugested Price/t]] - Jobs[[#This Row],[base price/t]]</f>
        <v>342988.46400000004</v>
      </c>
      <c r="V94" s="3">
        <f>IFERROR(Jobs[[#This Row],[Gross margin/t]] / Jobs[[#This Row],[base price/t]], 0)</f>
        <v>2</v>
      </c>
    </row>
    <row r="95" spans="1:22" x14ac:dyDescent="0.25">
      <c r="A95" t="s">
        <v>190</v>
      </c>
      <c r="B95" s="18" t="s">
        <v>205</v>
      </c>
      <c r="C95" s="18">
        <v>1</v>
      </c>
      <c r="D95" t="s">
        <v>129</v>
      </c>
      <c r="E95" t="s">
        <v>5</v>
      </c>
      <c r="F95" t="s">
        <v>22</v>
      </c>
      <c r="G95" s="1">
        <v>7.39</v>
      </c>
      <c r="J95" s="37">
        <v>1.6666666666666666E-2</v>
      </c>
      <c r="K95" s="22"/>
      <c r="L95" s="2"/>
      <c r="M95" s="2">
        <f>_xlfn.LET(
    _xlpm.qty, C95,
    _xlpm.weight_g, G95 + H95 + Jobs[[#This Row],[Flushed/g]],
    _xlpm.material, TRIM(E95),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20174.7</v>
      </c>
      <c r="N95" s="2">
        <f>_xlfn.LET(
    _xlpm.qty, C95,
    _xlpm.hours, J95*24,
    _xlpm.power_w, _xlfn.XLOOKUP(TRIM(D95), Settings!$F$4:$F$101, Settings!$G$4:$G$101, 120),
    _xlpm.rate, Settings!$D$4,
    _xlpm.qty * _xlpm.hours * (_xlpm.power_w / 1000) * _xlpm.rate
)</f>
        <v>38.975999999999999</v>
      </c>
      <c r="O95" s="2">
        <f>_xlfn.LET(
    _xlpm.qty, C95,
    _xlpm.hours, J95*24,
    _xlpm.price, _xlfn.XLOOKUP(TRIM(D95), Settings!$F$4:$F$101, Settings!$H$4:$H$101, 0),
    _xlpm.life, _xlfn.XLOOKUP(TRIM(D95), Settings!$F$4:$F$101, Settings!$I$4:$I$101, 1),
    _xlpm.qty * _xlpm.hours * (_xlpm.price / _xlpm.life)
)</f>
        <v>7520</v>
      </c>
      <c r="P95" s="2">
        <f>_xlfn.LET(
    _xlpm.qty, C95,
    _xlpm.hours, J95*24,
    _xlpm.price, _xlfn.XLOOKUP(TRIM(D95), Settings!$F$4:$F$101, Settings!$H$4:$H$101, 0),
    _xlpm.life, _xlfn.XLOOKUP(TRIM(D95), Settings!$F$4:$F$101, Settings!$I$4:$I$101, 1),
    _xlpm.pct, _xlfn.XLOOKUP(TRIM(D95), Settings!$F$4:$F$101, Settings!$J$4:$J$101, 0),
    _xlpm.qty * _xlpm.hours * (_xlpm.price / _xlpm.life * _xlpm.pct)
)</f>
        <v>376</v>
      </c>
      <c r="Q95" s="2">
        <f>Jobs[[#This Row],[Post Pro/h]]*Settings!$D$18</f>
        <v>0</v>
      </c>
      <c r="R95" s="2">
        <f>(Jobs[[#This Row],[power/t]]+Jobs[[#This Row],[Matrial/t]]+Jobs[[#This Row],[downturn/t]]+Jobs[[#This Row],[Maintenance/t]]+Jobs[[#This Row],[Coloring/t]]+Jobs[[#This Row],[Extras]])*Settings!$D$12</f>
        <v>8432.9027999999998</v>
      </c>
      <c r="S95" s="2">
        <f>Jobs[[#This Row],[Matrial/t]] + Jobs[[#This Row],[power/t]] + Jobs[[#This Row],[downturn/t]] + Jobs[[#This Row],[Maintenance/t]] + Jobs[[#This Row],[Coloring/t]] + Jobs[[#This Row],[overhead/t]] + Jobs[[#This Row],[Extras]]</f>
        <v>36542.578800000003</v>
      </c>
      <c r="T95" s="2">
        <f>S95*(1+Settings!$D$5)</f>
        <v>109627.73640000001</v>
      </c>
      <c r="U95" s="2">
        <f>Jobs[[#This Row],[Sugested Price/t]] - Jobs[[#This Row],[base price/t]]</f>
        <v>73085.157600000006</v>
      </c>
      <c r="V95" s="3">
        <f>IFERROR(Jobs[[#This Row],[Gross margin/t]] / Jobs[[#This Row],[base price/t]], 0)</f>
        <v>2</v>
      </c>
    </row>
    <row r="96" spans="1:22" x14ac:dyDescent="0.25">
      <c r="A96" t="s">
        <v>191</v>
      </c>
      <c r="B96" s="18" t="s">
        <v>206</v>
      </c>
      <c r="C96" s="18">
        <v>1</v>
      </c>
      <c r="D96" t="s">
        <v>129</v>
      </c>
      <c r="E96" t="s">
        <v>5</v>
      </c>
      <c r="F96" t="s">
        <v>22</v>
      </c>
      <c r="G96" s="1">
        <v>7.15</v>
      </c>
      <c r="J96" s="37">
        <v>1.7361111111111112E-2</v>
      </c>
      <c r="K96" s="22"/>
      <c r="L96" s="2"/>
      <c r="M96" s="2">
        <f>_xlfn.LET(
    _xlpm.qty, C96,
    _xlpm.weight_g, G96 + H96 + Jobs[[#This Row],[Flushed/g]],
    _xlpm.material, TRIM(E96),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19519.5</v>
      </c>
      <c r="N96" s="2">
        <f>_xlfn.LET(
    _xlpm.qty, C96,
    _xlpm.hours, J96*24,
    _xlpm.power_w, _xlfn.XLOOKUP(TRIM(D96), Settings!$F$4:$F$101, Settings!$G$4:$G$101, 120),
    _xlpm.rate, Settings!$D$4,
    _xlpm.qty * _xlpm.hours * (_xlpm.power_w / 1000) * _xlpm.rate
)</f>
        <v>40.6</v>
      </c>
      <c r="O96" s="2">
        <f>_xlfn.LET(
    _xlpm.qty, C96,
    _xlpm.hours, J96*24,
    _xlpm.price, _xlfn.XLOOKUP(TRIM(D96), Settings!$F$4:$F$101, Settings!$H$4:$H$101, 0),
    _xlpm.life, _xlfn.XLOOKUP(TRIM(D96), Settings!$F$4:$F$101, Settings!$I$4:$I$101, 1),
    _xlpm.qty * _xlpm.hours * (_xlpm.price / _xlpm.life)
)</f>
        <v>7833.3333333333339</v>
      </c>
      <c r="P96" s="2">
        <f>_xlfn.LET(
    _xlpm.qty, C96,
    _xlpm.hours, J96*24,
    _xlpm.price, _xlfn.XLOOKUP(TRIM(D96), Settings!$F$4:$F$101, Settings!$H$4:$H$101, 0),
    _xlpm.life, _xlfn.XLOOKUP(TRIM(D96), Settings!$F$4:$F$101, Settings!$I$4:$I$101, 1),
    _xlpm.pct, _xlfn.XLOOKUP(TRIM(D96), Settings!$F$4:$F$101, Settings!$J$4:$J$101, 0),
    _xlpm.qty * _xlpm.hours * (_xlpm.price / _xlpm.life * _xlpm.pct)
)</f>
        <v>391.66666666666669</v>
      </c>
      <c r="Q96" s="2">
        <f>Jobs[[#This Row],[Post Pro/h]]*Settings!$D$18</f>
        <v>0</v>
      </c>
      <c r="R96" s="2">
        <f>(Jobs[[#This Row],[power/t]]+Jobs[[#This Row],[Matrial/t]]+Jobs[[#This Row],[downturn/t]]+Jobs[[#This Row],[Maintenance/t]]+Jobs[[#This Row],[Coloring/t]]+Jobs[[#This Row],[Extras]])*Settings!$D$12</f>
        <v>8335.5300000000007</v>
      </c>
      <c r="S96" s="2">
        <f>Jobs[[#This Row],[Matrial/t]] + Jobs[[#This Row],[power/t]] + Jobs[[#This Row],[downturn/t]] + Jobs[[#This Row],[Maintenance/t]] + Jobs[[#This Row],[Coloring/t]] + Jobs[[#This Row],[overhead/t]] + Jobs[[#This Row],[Extras]]</f>
        <v>36120.630000000005</v>
      </c>
      <c r="T96" s="2">
        <f>S96*(1+Settings!$D$5)</f>
        <v>108361.89000000001</v>
      </c>
      <c r="U96" s="2">
        <f>Jobs[[#This Row],[Sugested Price/t]] - Jobs[[#This Row],[base price/t]]</f>
        <v>72241.260000000009</v>
      </c>
      <c r="V96" s="3">
        <f>IFERROR(Jobs[[#This Row],[Gross margin/t]] / Jobs[[#This Row],[base price/t]], 0)</f>
        <v>2</v>
      </c>
    </row>
    <row r="97" spans="1:22" x14ac:dyDescent="0.25">
      <c r="A97" t="s">
        <v>192</v>
      </c>
      <c r="B97" s="18" t="s">
        <v>207</v>
      </c>
      <c r="C97" s="18">
        <v>1</v>
      </c>
      <c r="D97" t="s">
        <v>129</v>
      </c>
      <c r="E97" t="s">
        <v>5</v>
      </c>
      <c r="F97" t="s">
        <v>22</v>
      </c>
      <c r="G97" s="1">
        <v>3.07</v>
      </c>
      <c r="J97" s="37">
        <v>6.2500000000000003E-3</v>
      </c>
      <c r="K97" s="22"/>
      <c r="L97" s="2"/>
      <c r="M97" s="2">
        <f>_xlfn.LET(
    _xlpm.qty, C97,
    _xlpm.weight_g, G97 + H97 + Jobs[[#This Row],[Flushed/g]],
    _xlpm.material, TRIM(E97),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8381.0999999999985</v>
      </c>
      <c r="N97" s="2">
        <f>_xlfn.LET(
    _xlpm.qty, C97,
    _xlpm.hours, J97*24,
    _xlpm.power_w, _xlfn.XLOOKUP(TRIM(D97), Settings!$F$4:$F$101, Settings!$G$4:$G$101, 120),
    _xlpm.rate, Settings!$D$4,
    _xlpm.qty * _xlpm.hours * (_xlpm.power_w / 1000) * _xlpm.rate
)</f>
        <v>14.616000000000001</v>
      </c>
      <c r="O97" s="2">
        <f>_xlfn.LET(
    _xlpm.qty, C97,
    _xlpm.hours, J97*24,
    _xlpm.price, _xlfn.XLOOKUP(TRIM(D97), Settings!$F$4:$F$101, Settings!$H$4:$H$101, 0),
    _xlpm.life, _xlfn.XLOOKUP(TRIM(D97), Settings!$F$4:$F$101, Settings!$I$4:$I$101, 1),
    _xlpm.qty * _xlpm.hours * (_xlpm.price / _xlpm.life)
)</f>
        <v>2820.0000000000005</v>
      </c>
      <c r="P97" s="2">
        <f>_xlfn.LET(
    _xlpm.qty, C97,
    _xlpm.hours, J97*24,
    _xlpm.price, _xlfn.XLOOKUP(TRIM(D97), Settings!$F$4:$F$101, Settings!$H$4:$H$101, 0),
    _xlpm.life, _xlfn.XLOOKUP(TRIM(D97), Settings!$F$4:$F$101, Settings!$I$4:$I$101, 1),
    _xlpm.pct, _xlfn.XLOOKUP(TRIM(D97), Settings!$F$4:$F$101, Settings!$J$4:$J$101, 0),
    _xlpm.qty * _xlpm.hours * (_xlpm.price / _xlpm.life * _xlpm.pct)
)</f>
        <v>141.00000000000003</v>
      </c>
      <c r="Q97" s="2">
        <f>Jobs[[#This Row],[Post Pro/h]]*Settings!$D$18</f>
        <v>0</v>
      </c>
      <c r="R97" s="2">
        <f>(Jobs[[#This Row],[power/t]]+Jobs[[#This Row],[Matrial/t]]+Jobs[[#This Row],[downturn/t]]+Jobs[[#This Row],[Maintenance/t]]+Jobs[[#This Row],[Coloring/t]]+Jobs[[#This Row],[Extras]])*Settings!$D$12</f>
        <v>3407.0147999999995</v>
      </c>
      <c r="S97" s="2">
        <f>Jobs[[#This Row],[Matrial/t]] + Jobs[[#This Row],[power/t]] + Jobs[[#This Row],[downturn/t]] + Jobs[[#This Row],[Maintenance/t]] + Jobs[[#This Row],[Coloring/t]] + Jobs[[#This Row],[overhead/t]] + Jobs[[#This Row],[Extras]]</f>
        <v>14763.730799999998</v>
      </c>
      <c r="T97" s="2">
        <f>S97*(1+Settings!$D$5)</f>
        <v>44291.192399999993</v>
      </c>
      <c r="U97" s="2">
        <f>Jobs[[#This Row],[Sugested Price/t]] - Jobs[[#This Row],[base price/t]]</f>
        <v>29527.461599999995</v>
      </c>
      <c r="V97" s="3">
        <f>IFERROR(Jobs[[#This Row],[Gross margin/t]] / Jobs[[#This Row],[base price/t]], 0)</f>
        <v>2</v>
      </c>
    </row>
    <row r="98" spans="1:22" x14ac:dyDescent="0.25">
      <c r="A98" t="s">
        <v>193</v>
      </c>
      <c r="B98" s="18" t="s">
        <v>208</v>
      </c>
      <c r="C98" s="18">
        <v>1</v>
      </c>
      <c r="D98" t="s">
        <v>129</v>
      </c>
      <c r="E98" t="s">
        <v>5</v>
      </c>
      <c r="F98" t="s">
        <v>22</v>
      </c>
      <c r="G98" s="1">
        <v>4.2</v>
      </c>
      <c r="J98" s="37">
        <v>8.3333333333333332E-3</v>
      </c>
      <c r="K98" s="22"/>
      <c r="L98" s="2"/>
      <c r="M98" s="2">
        <f>_xlfn.LET(
    _xlpm.qty, C98,
    _xlpm.weight_g, G98 + H98 + Jobs[[#This Row],[Flushed/g]],
    _xlpm.material, TRIM(E98),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11466.000000000002</v>
      </c>
      <c r="N98" s="2">
        <f>_xlfn.LET(
    _xlpm.qty, C98,
    _xlpm.hours, J98*24,
    _xlpm.power_w, _xlfn.XLOOKUP(TRIM(D98), Settings!$F$4:$F$101, Settings!$G$4:$G$101, 120),
    _xlpm.rate, Settings!$D$4,
    _xlpm.qty * _xlpm.hours * (_xlpm.power_w / 1000) * _xlpm.rate
)</f>
        <v>19.488</v>
      </c>
      <c r="O98" s="2">
        <f>_xlfn.LET(
    _xlpm.qty, C98,
    _xlpm.hours, J98*24,
    _xlpm.price, _xlfn.XLOOKUP(TRIM(D98), Settings!$F$4:$F$101, Settings!$H$4:$H$101, 0),
    _xlpm.life, _xlfn.XLOOKUP(TRIM(D98), Settings!$F$4:$F$101, Settings!$I$4:$I$101, 1),
    _xlpm.qty * _xlpm.hours * (_xlpm.price / _xlpm.life)
)</f>
        <v>3760</v>
      </c>
      <c r="P98" s="2">
        <f>_xlfn.LET(
    _xlpm.qty, C98,
    _xlpm.hours, J98*24,
    _xlpm.price, _xlfn.XLOOKUP(TRIM(D98), Settings!$F$4:$F$101, Settings!$H$4:$H$101, 0),
    _xlpm.life, _xlfn.XLOOKUP(TRIM(D98), Settings!$F$4:$F$101, Settings!$I$4:$I$101, 1),
    _xlpm.pct, _xlfn.XLOOKUP(TRIM(D98), Settings!$F$4:$F$101, Settings!$J$4:$J$101, 0),
    _xlpm.qty * _xlpm.hours * (_xlpm.price / _xlpm.life * _xlpm.pct)
)</f>
        <v>188</v>
      </c>
      <c r="Q98" s="2">
        <f>Jobs[[#This Row],[Post Pro/h]]*Settings!$D$18</f>
        <v>0</v>
      </c>
      <c r="R98" s="2">
        <f>(Jobs[[#This Row],[power/t]]+Jobs[[#This Row],[Matrial/t]]+Jobs[[#This Row],[downturn/t]]+Jobs[[#This Row],[Maintenance/t]]+Jobs[[#This Row],[Coloring/t]]+Jobs[[#This Row],[Extras]])*Settings!$D$12</f>
        <v>4630.0464000000002</v>
      </c>
      <c r="S98" s="2">
        <f>Jobs[[#This Row],[Matrial/t]] + Jobs[[#This Row],[power/t]] + Jobs[[#This Row],[downturn/t]] + Jobs[[#This Row],[Maintenance/t]] + Jobs[[#This Row],[Coloring/t]] + Jobs[[#This Row],[overhead/t]] + Jobs[[#This Row],[Extras]]</f>
        <v>20063.5344</v>
      </c>
      <c r="T98" s="2">
        <f>S98*(1+Settings!$D$5)</f>
        <v>60190.603199999998</v>
      </c>
      <c r="U98" s="2">
        <f>Jobs[[#This Row],[Sugested Price/t]] - Jobs[[#This Row],[base price/t]]</f>
        <v>40127.068799999994</v>
      </c>
      <c r="V98" s="3">
        <f>IFERROR(Jobs[[#This Row],[Gross margin/t]] / Jobs[[#This Row],[base price/t]], 0)</f>
        <v>1.9999999999999996</v>
      </c>
    </row>
    <row r="99" spans="1:22" x14ac:dyDescent="0.25">
      <c r="A99" t="s">
        <v>194</v>
      </c>
      <c r="B99" s="18" t="s">
        <v>209</v>
      </c>
      <c r="C99" s="18">
        <v>1</v>
      </c>
      <c r="D99" t="s">
        <v>129</v>
      </c>
      <c r="E99" t="s">
        <v>5</v>
      </c>
      <c r="F99" t="s">
        <v>22</v>
      </c>
      <c r="G99" s="1">
        <v>4.66</v>
      </c>
      <c r="J99" s="37">
        <v>1.0416666666666666E-2</v>
      </c>
      <c r="K99" s="22"/>
      <c r="L99" s="2"/>
      <c r="M99" s="2">
        <f>_xlfn.LET(
    _xlpm.qty, C99,
    _xlpm.weight_g, G99 + H99 + Jobs[[#This Row],[Flushed/g]],
    _xlpm.material, TRIM(E99),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12721.800000000001</v>
      </c>
      <c r="N99" s="2">
        <f>_xlfn.LET(
    _xlpm.qty, C99,
    _xlpm.hours, J99*24,
    _xlpm.power_w, _xlfn.XLOOKUP(TRIM(D99), Settings!$F$4:$F$101, Settings!$G$4:$G$101, 120),
    _xlpm.rate, Settings!$D$4,
    _xlpm.qty * _xlpm.hours * (_xlpm.power_w / 1000) * _xlpm.rate
)</f>
        <v>24.36</v>
      </c>
      <c r="O99" s="2">
        <f>_xlfn.LET(
    _xlpm.qty, C99,
    _xlpm.hours, J99*24,
    _xlpm.price, _xlfn.XLOOKUP(TRIM(D99), Settings!$F$4:$F$101, Settings!$H$4:$H$101, 0),
    _xlpm.life, _xlfn.XLOOKUP(TRIM(D99), Settings!$F$4:$F$101, Settings!$I$4:$I$101, 1),
    _xlpm.qty * _xlpm.hours * (_xlpm.price / _xlpm.life)
)</f>
        <v>4700</v>
      </c>
      <c r="P99" s="2">
        <f>_xlfn.LET(
    _xlpm.qty, C99,
    _xlpm.hours, J99*24,
    _xlpm.price, _xlfn.XLOOKUP(TRIM(D99), Settings!$F$4:$F$101, Settings!$H$4:$H$101, 0),
    _xlpm.life, _xlfn.XLOOKUP(TRIM(D99), Settings!$F$4:$F$101, Settings!$I$4:$I$101, 1),
    _xlpm.pct, _xlfn.XLOOKUP(TRIM(D99), Settings!$F$4:$F$101, Settings!$J$4:$J$101, 0),
    _xlpm.qty * _xlpm.hours * (_xlpm.price / _xlpm.life * _xlpm.pct)
)</f>
        <v>235</v>
      </c>
      <c r="Q99" s="2">
        <f>Jobs[[#This Row],[Post Pro/h]]*Settings!$D$18</f>
        <v>0</v>
      </c>
      <c r="R99" s="2">
        <f>(Jobs[[#This Row],[power/t]]+Jobs[[#This Row],[Matrial/t]]+Jobs[[#This Row],[downturn/t]]+Jobs[[#This Row],[Maintenance/t]]+Jobs[[#This Row],[Coloring/t]]+Jobs[[#This Row],[Extras]])*Settings!$D$12</f>
        <v>5304.3480000000009</v>
      </c>
      <c r="S99" s="2">
        <f>Jobs[[#This Row],[Matrial/t]] + Jobs[[#This Row],[power/t]] + Jobs[[#This Row],[downturn/t]] + Jobs[[#This Row],[Maintenance/t]] + Jobs[[#This Row],[Coloring/t]] + Jobs[[#This Row],[overhead/t]] + Jobs[[#This Row],[Extras]]</f>
        <v>22985.508000000005</v>
      </c>
      <c r="T99" s="2">
        <f>S99*(1+Settings!$D$5)</f>
        <v>68956.524000000019</v>
      </c>
      <c r="U99" s="2">
        <f>Jobs[[#This Row],[Sugested Price/t]] - Jobs[[#This Row],[base price/t]]</f>
        <v>45971.016000000018</v>
      </c>
      <c r="V99" s="3">
        <f>IFERROR(Jobs[[#This Row],[Gross margin/t]] / Jobs[[#This Row],[base price/t]], 0)</f>
        <v>2.0000000000000004</v>
      </c>
    </row>
    <row r="100" spans="1:22" x14ac:dyDescent="0.25">
      <c r="A100" t="s">
        <v>195</v>
      </c>
      <c r="B100" s="18" t="s">
        <v>210</v>
      </c>
      <c r="C100" s="18">
        <v>1</v>
      </c>
      <c r="D100" t="s">
        <v>129</v>
      </c>
      <c r="E100" t="s">
        <v>5</v>
      </c>
      <c r="F100" t="s">
        <v>22</v>
      </c>
      <c r="G100" s="1">
        <v>6.55</v>
      </c>
      <c r="H100" s="1">
        <v>2.5</v>
      </c>
      <c r="J100" s="37">
        <v>2.361111111111111E-2</v>
      </c>
      <c r="K100" s="22"/>
      <c r="L100" s="2"/>
      <c r="M100" s="2">
        <f>_xlfn.LET(
    _xlpm.qty, C100,
    _xlpm.weight_g, G100 + H100 + Jobs[[#This Row],[Flushed/g]],
    _xlpm.material, TRIM(E100),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24706.500000000004</v>
      </c>
      <c r="N100" s="2">
        <f>_xlfn.LET(
    _xlpm.qty, C100,
    _xlpm.hours, J100*24,
    _xlpm.power_w, _xlfn.XLOOKUP(TRIM(D100), Settings!$F$4:$F$101, Settings!$G$4:$G$101, 120),
    _xlpm.rate, Settings!$D$4,
    _xlpm.qty * _xlpm.hours * (_xlpm.power_w / 1000) * _xlpm.rate
)</f>
        <v>55.215999999999994</v>
      </c>
      <c r="O100" s="2">
        <f>_xlfn.LET(
    _xlpm.qty, C100,
    _xlpm.hours, J100*24,
    _xlpm.price, _xlfn.XLOOKUP(TRIM(D100), Settings!$F$4:$F$101, Settings!$H$4:$H$101, 0),
    _xlpm.life, _xlfn.XLOOKUP(TRIM(D100), Settings!$F$4:$F$101, Settings!$I$4:$I$101, 1),
    _xlpm.qty * _xlpm.hours * (_xlpm.price / _xlpm.life)
)</f>
        <v>10653.333333333334</v>
      </c>
      <c r="P100" s="2">
        <f>_xlfn.LET(
    _xlpm.qty, C100,
    _xlpm.hours, J100*24,
    _xlpm.price, _xlfn.XLOOKUP(TRIM(D100), Settings!$F$4:$F$101, Settings!$H$4:$H$101, 0),
    _xlpm.life, _xlfn.XLOOKUP(TRIM(D100), Settings!$F$4:$F$101, Settings!$I$4:$I$101, 1),
    _xlpm.pct, _xlfn.XLOOKUP(TRIM(D100), Settings!$F$4:$F$101, Settings!$J$4:$J$101, 0),
    _xlpm.qty * _xlpm.hours * (_xlpm.price / _xlpm.life * _xlpm.pct)
)</f>
        <v>532.66666666666663</v>
      </c>
      <c r="Q100" s="2">
        <f>Jobs[[#This Row],[Post Pro/h]]*Settings!$D$18</f>
        <v>0</v>
      </c>
      <c r="R100" s="2">
        <f>(Jobs[[#This Row],[power/t]]+Jobs[[#This Row],[Matrial/t]]+Jobs[[#This Row],[downturn/t]]+Jobs[[#This Row],[Maintenance/t]]+Jobs[[#This Row],[Coloring/t]]+Jobs[[#This Row],[Extras]])*Settings!$D$12</f>
        <v>10784.3148</v>
      </c>
      <c r="S100" s="2">
        <f>Jobs[[#This Row],[Matrial/t]] + Jobs[[#This Row],[power/t]] + Jobs[[#This Row],[downturn/t]] + Jobs[[#This Row],[Maintenance/t]] + Jobs[[#This Row],[Coloring/t]] + Jobs[[#This Row],[overhead/t]] + Jobs[[#This Row],[Extras]]</f>
        <v>46732.0308</v>
      </c>
      <c r="T100" s="2">
        <f>S100*(1+Settings!$D$5)</f>
        <v>140196.09239999999</v>
      </c>
      <c r="U100" s="2">
        <f>Jobs[[#This Row],[Sugested Price/t]] - Jobs[[#This Row],[base price/t]]</f>
        <v>93464.061599999986</v>
      </c>
      <c r="V100" s="3">
        <f>IFERROR(Jobs[[#This Row],[Gross margin/t]] / Jobs[[#This Row],[base price/t]], 0)</f>
        <v>1.9999999999999998</v>
      </c>
    </row>
    <row r="101" spans="1:22" x14ac:dyDescent="0.25">
      <c r="A101" t="s">
        <v>196</v>
      </c>
      <c r="B101" s="18" t="s">
        <v>211</v>
      </c>
      <c r="C101" s="18">
        <v>1</v>
      </c>
      <c r="D101" t="s">
        <v>129</v>
      </c>
      <c r="E101" t="s">
        <v>5</v>
      </c>
      <c r="F101" t="s">
        <v>22</v>
      </c>
      <c r="G101" s="1">
        <v>2.65</v>
      </c>
      <c r="J101" s="37">
        <v>6.9444444444444441E-3</v>
      </c>
      <c r="K101" s="22"/>
      <c r="L101" s="2"/>
      <c r="M101" s="2">
        <f>_xlfn.LET(
    _xlpm.qty, C101,
    _xlpm.weight_g, G101 + H101 + Jobs[[#This Row],[Flushed/g]],
    _xlpm.material, TRIM(E101),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7234.5</v>
      </c>
      <c r="N101" s="2">
        <f>_xlfn.LET(
    _xlpm.qty, C101,
    _xlpm.hours, J101*24,
    _xlpm.power_w, _xlfn.XLOOKUP(TRIM(D101), Settings!$F$4:$F$101, Settings!$G$4:$G$101, 120),
    _xlpm.rate, Settings!$D$4,
    _xlpm.qty * _xlpm.hours * (_xlpm.power_w / 1000) * _xlpm.rate
)</f>
        <v>16.239999999999998</v>
      </c>
      <c r="O101" s="2">
        <f>_xlfn.LET(
    _xlpm.qty, C101,
    _xlpm.hours, J101*24,
    _xlpm.price, _xlfn.XLOOKUP(TRIM(D101), Settings!$F$4:$F$101, Settings!$H$4:$H$101, 0),
    _xlpm.life, _xlfn.XLOOKUP(TRIM(D101), Settings!$F$4:$F$101, Settings!$I$4:$I$101, 1),
    _xlpm.qty * _xlpm.hours * (_xlpm.price / _xlpm.life)
)</f>
        <v>3133.333333333333</v>
      </c>
      <c r="P101" s="2">
        <f>_xlfn.LET(
    _xlpm.qty, C101,
    _xlpm.hours, J101*24,
    _xlpm.price, _xlfn.XLOOKUP(TRIM(D101), Settings!$F$4:$F$101, Settings!$H$4:$H$101, 0),
    _xlpm.life, _xlfn.XLOOKUP(TRIM(D101), Settings!$F$4:$F$101, Settings!$I$4:$I$101, 1),
    _xlpm.pct, _xlfn.XLOOKUP(TRIM(D101), Settings!$F$4:$F$101, Settings!$J$4:$J$101, 0),
    _xlpm.qty * _xlpm.hours * (_xlpm.price / _xlpm.life * _xlpm.pct)
)</f>
        <v>156.66666666666666</v>
      </c>
      <c r="Q101" s="2">
        <f>Jobs[[#This Row],[Post Pro/h]]*Settings!$D$18</f>
        <v>0</v>
      </c>
      <c r="R101" s="2">
        <f>(Jobs[[#This Row],[power/t]]+Jobs[[#This Row],[Matrial/t]]+Jobs[[#This Row],[downturn/t]]+Jobs[[#This Row],[Maintenance/t]]+Jobs[[#This Row],[Coloring/t]]+Jobs[[#This Row],[Extras]])*Settings!$D$12</f>
        <v>3162.2219999999998</v>
      </c>
      <c r="S101" s="2">
        <f>Jobs[[#This Row],[Matrial/t]] + Jobs[[#This Row],[power/t]] + Jobs[[#This Row],[downturn/t]] + Jobs[[#This Row],[Maintenance/t]] + Jobs[[#This Row],[Coloring/t]] + Jobs[[#This Row],[overhead/t]] + Jobs[[#This Row],[Extras]]</f>
        <v>13702.962</v>
      </c>
      <c r="T101" s="2">
        <f>S101*(1+Settings!$D$5)</f>
        <v>41108.885999999999</v>
      </c>
      <c r="U101" s="2">
        <f>Jobs[[#This Row],[Sugested Price/t]] - Jobs[[#This Row],[base price/t]]</f>
        <v>27405.923999999999</v>
      </c>
      <c r="V101" s="3">
        <f>IFERROR(Jobs[[#This Row],[Gross margin/t]] / Jobs[[#This Row],[base price/t]], 0)</f>
        <v>2</v>
      </c>
    </row>
    <row r="102" spans="1:22" x14ac:dyDescent="0.25">
      <c r="A102" t="s">
        <v>197</v>
      </c>
      <c r="B102" s="18" t="s">
        <v>212</v>
      </c>
      <c r="C102" s="18">
        <v>1</v>
      </c>
      <c r="D102" t="s">
        <v>129</v>
      </c>
      <c r="E102" t="s">
        <v>5</v>
      </c>
      <c r="F102" t="s">
        <v>22</v>
      </c>
      <c r="G102" s="1">
        <v>3.22</v>
      </c>
      <c r="J102" s="37">
        <v>7.6388888888888886E-3</v>
      </c>
      <c r="K102" s="22"/>
      <c r="L102" s="2"/>
      <c r="M102" s="2">
        <f>_xlfn.LET(
    _xlpm.qty, C102,
    _xlpm.weight_g, G102 + H102 + Jobs[[#This Row],[Flushed/g]],
    _xlpm.material, TRIM(E102),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8790.6</v>
      </c>
      <c r="N102" s="2">
        <f>_xlfn.LET(
    _xlpm.qty, C102,
    _xlpm.hours, J102*24,
    _xlpm.power_w, _xlfn.XLOOKUP(TRIM(D102), Settings!$F$4:$F$101, Settings!$G$4:$G$101, 120),
    _xlpm.rate, Settings!$D$4,
    _xlpm.qty * _xlpm.hours * (_xlpm.power_w / 1000) * _xlpm.rate
)</f>
        <v>17.863999999999997</v>
      </c>
      <c r="O102" s="2">
        <f>_xlfn.LET(
    _xlpm.qty, C102,
    _xlpm.hours, J102*24,
    _xlpm.price, _xlfn.XLOOKUP(TRIM(D102), Settings!$F$4:$F$101, Settings!$H$4:$H$101, 0),
    _xlpm.life, _xlfn.XLOOKUP(TRIM(D102), Settings!$F$4:$F$101, Settings!$I$4:$I$101, 1),
    _xlpm.qty * _xlpm.hours * (_xlpm.price / _xlpm.life)
)</f>
        <v>3446.6666666666665</v>
      </c>
      <c r="P102" s="2">
        <f>_xlfn.LET(
    _xlpm.qty, C102,
    _xlpm.hours, J102*24,
    _xlpm.price, _xlfn.XLOOKUP(TRIM(D102), Settings!$F$4:$F$101, Settings!$H$4:$H$101, 0),
    _xlpm.life, _xlfn.XLOOKUP(TRIM(D102), Settings!$F$4:$F$101, Settings!$I$4:$I$101, 1),
    _xlpm.pct, _xlfn.XLOOKUP(TRIM(D102), Settings!$F$4:$F$101, Settings!$J$4:$J$101, 0),
    _xlpm.qty * _xlpm.hours * (_xlpm.price / _xlpm.life * _xlpm.pct)
)</f>
        <v>172.33333333333331</v>
      </c>
      <c r="Q102" s="2">
        <f>Jobs[[#This Row],[Post Pro/h]]*Settings!$D$18</f>
        <v>0</v>
      </c>
      <c r="R102" s="2">
        <f>(Jobs[[#This Row],[power/t]]+Jobs[[#This Row],[Matrial/t]]+Jobs[[#This Row],[downturn/t]]+Jobs[[#This Row],[Maintenance/t]]+Jobs[[#This Row],[Coloring/t]]+Jobs[[#This Row],[Extras]])*Settings!$D$12</f>
        <v>3728.2392</v>
      </c>
      <c r="S102" s="2">
        <f>Jobs[[#This Row],[Matrial/t]] + Jobs[[#This Row],[power/t]] + Jobs[[#This Row],[downturn/t]] + Jobs[[#This Row],[Maintenance/t]] + Jobs[[#This Row],[Coloring/t]] + Jobs[[#This Row],[overhead/t]] + Jobs[[#This Row],[Extras]]</f>
        <v>16155.7032</v>
      </c>
      <c r="T102" s="2">
        <f>S102*(1+Settings!$D$5)</f>
        <v>48467.109599999996</v>
      </c>
      <c r="U102" s="2">
        <f>Jobs[[#This Row],[Sugested Price/t]] - Jobs[[#This Row],[base price/t]]</f>
        <v>32311.406399999996</v>
      </c>
      <c r="V102" s="3">
        <f>IFERROR(Jobs[[#This Row],[Gross margin/t]] / Jobs[[#This Row],[base price/t]], 0)</f>
        <v>1.9999999999999998</v>
      </c>
    </row>
    <row r="103" spans="1:22" x14ac:dyDescent="0.25">
      <c r="A103" t="s">
        <v>198</v>
      </c>
      <c r="B103" s="18" t="s">
        <v>213</v>
      </c>
      <c r="C103" s="18">
        <v>1</v>
      </c>
      <c r="D103" t="s">
        <v>129</v>
      </c>
      <c r="E103" t="s">
        <v>5</v>
      </c>
      <c r="F103" t="s">
        <v>22</v>
      </c>
      <c r="G103" s="1">
        <v>8.86</v>
      </c>
      <c r="J103" s="37">
        <v>1.5972222222222221E-2</v>
      </c>
      <c r="K103" s="22"/>
      <c r="L103" s="2"/>
      <c r="M103" s="2">
        <f>_xlfn.LET(
    _xlpm.qty, C103,
    _xlpm.weight_g, G103 + H103 + Jobs[[#This Row],[Flushed/g]],
    _xlpm.material, TRIM(E103),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24187.8</v>
      </c>
      <c r="N103" s="2">
        <f>_xlfn.LET(
    _xlpm.qty, C103,
    _xlpm.hours, J103*24,
    _xlpm.power_w, _xlfn.XLOOKUP(TRIM(D103), Settings!$F$4:$F$101, Settings!$G$4:$G$101, 120),
    _xlpm.rate, Settings!$D$4,
    _xlpm.qty * _xlpm.hours * (_xlpm.power_w / 1000) * _xlpm.rate
)</f>
        <v>37.351999999999997</v>
      </c>
      <c r="O103" s="2">
        <f>_xlfn.LET(
    _xlpm.qty, C103,
    _xlpm.hours, J103*24,
    _xlpm.price, _xlfn.XLOOKUP(TRIM(D103), Settings!$F$4:$F$101, Settings!$H$4:$H$101, 0),
    _xlpm.life, _xlfn.XLOOKUP(TRIM(D103), Settings!$F$4:$F$101, Settings!$I$4:$I$101, 1),
    _xlpm.qty * _xlpm.hours * (_xlpm.price / _xlpm.life)
)</f>
        <v>7206.6666666666661</v>
      </c>
      <c r="P103" s="2">
        <f>_xlfn.LET(
    _xlpm.qty, C103,
    _xlpm.hours, J103*24,
    _xlpm.price, _xlfn.XLOOKUP(TRIM(D103), Settings!$F$4:$F$101, Settings!$H$4:$H$101, 0),
    _xlpm.life, _xlfn.XLOOKUP(TRIM(D103), Settings!$F$4:$F$101, Settings!$I$4:$I$101, 1),
    _xlpm.pct, _xlfn.XLOOKUP(TRIM(D103), Settings!$F$4:$F$101, Settings!$J$4:$J$101, 0),
    _xlpm.qty * _xlpm.hours * (_xlpm.price / _xlpm.life * _xlpm.pct)
)</f>
        <v>360.33333333333331</v>
      </c>
      <c r="Q103" s="2">
        <f>Jobs[[#This Row],[Post Pro/h]]*Settings!$D$18</f>
        <v>0</v>
      </c>
      <c r="R103" s="2">
        <f>(Jobs[[#This Row],[power/t]]+Jobs[[#This Row],[Matrial/t]]+Jobs[[#This Row],[downturn/t]]+Jobs[[#This Row],[Maintenance/t]]+Jobs[[#This Row],[Coloring/t]]+Jobs[[#This Row],[Extras]])*Settings!$D$12</f>
        <v>9537.6455999999998</v>
      </c>
      <c r="S103" s="2">
        <f>Jobs[[#This Row],[Matrial/t]] + Jobs[[#This Row],[power/t]] + Jobs[[#This Row],[downturn/t]] + Jobs[[#This Row],[Maintenance/t]] + Jobs[[#This Row],[Coloring/t]] + Jobs[[#This Row],[overhead/t]] + Jobs[[#This Row],[Extras]]</f>
        <v>41329.797599999998</v>
      </c>
      <c r="T103" s="2">
        <f>S103*(1+Settings!$D$5)</f>
        <v>123989.3928</v>
      </c>
      <c r="U103" s="2">
        <f>Jobs[[#This Row],[Sugested Price/t]] - Jobs[[#This Row],[base price/t]]</f>
        <v>82659.595200000011</v>
      </c>
      <c r="V103" s="3">
        <f>IFERROR(Jobs[[#This Row],[Gross margin/t]] / Jobs[[#This Row],[base price/t]], 0)</f>
        <v>2.0000000000000004</v>
      </c>
    </row>
    <row r="104" spans="1:22" x14ac:dyDescent="0.25">
      <c r="A104" t="s">
        <v>199</v>
      </c>
      <c r="B104" s="18" t="s">
        <v>214</v>
      </c>
      <c r="C104" s="18">
        <v>1</v>
      </c>
      <c r="D104" t="s">
        <v>129</v>
      </c>
      <c r="E104" t="s">
        <v>5</v>
      </c>
      <c r="F104" t="s">
        <v>22</v>
      </c>
      <c r="G104" s="1">
        <v>11.54</v>
      </c>
      <c r="J104" s="37">
        <v>1.6666666666666666E-2</v>
      </c>
      <c r="K104" s="22"/>
      <c r="L104" s="2"/>
      <c r="M104" s="2">
        <f>_xlfn.LET(
    _xlpm.qty, C104,
    _xlpm.weight_g, G104 + H104 + Jobs[[#This Row],[Flushed/g]],
    _xlpm.material, TRIM(E104),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31504.2</v>
      </c>
      <c r="N104" s="2">
        <f>_xlfn.LET(
    _xlpm.qty, C104,
    _xlpm.hours, J104*24,
    _xlpm.power_w, _xlfn.XLOOKUP(TRIM(D104), Settings!$F$4:$F$101, Settings!$G$4:$G$101, 120),
    _xlpm.rate, Settings!$D$4,
    _xlpm.qty * _xlpm.hours * (_xlpm.power_w / 1000) * _xlpm.rate
)</f>
        <v>38.975999999999999</v>
      </c>
      <c r="O104" s="2">
        <f>_xlfn.LET(
    _xlpm.qty, C104,
    _xlpm.hours, J104*24,
    _xlpm.price, _xlfn.XLOOKUP(TRIM(D104), Settings!$F$4:$F$101, Settings!$H$4:$H$101, 0),
    _xlpm.life, _xlfn.XLOOKUP(TRIM(D104), Settings!$F$4:$F$101, Settings!$I$4:$I$101, 1),
    _xlpm.qty * _xlpm.hours * (_xlpm.price / _xlpm.life)
)</f>
        <v>7520</v>
      </c>
      <c r="P104" s="2">
        <f>_xlfn.LET(
    _xlpm.qty, C104,
    _xlpm.hours, J104*24,
    _xlpm.price, _xlfn.XLOOKUP(TRIM(D104), Settings!$F$4:$F$101, Settings!$H$4:$H$101, 0),
    _xlpm.life, _xlfn.XLOOKUP(TRIM(D104), Settings!$F$4:$F$101, Settings!$I$4:$I$101, 1),
    _xlpm.pct, _xlfn.XLOOKUP(TRIM(D104), Settings!$F$4:$F$101, Settings!$J$4:$J$101, 0),
    _xlpm.qty * _xlpm.hours * (_xlpm.price / _xlpm.life * _xlpm.pct)
)</f>
        <v>376</v>
      </c>
      <c r="Q104" s="2">
        <f>Jobs[[#This Row],[Post Pro/h]]*Settings!$D$18</f>
        <v>0</v>
      </c>
      <c r="R104" s="2">
        <f>(Jobs[[#This Row],[power/t]]+Jobs[[#This Row],[Matrial/t]]+Jobs[[#This Row],[downturn/t]]+Jobs[[#This Row],[Maintenance/t]]+Jobs[[#This Row],[Coloring/t]]+Jobs[[#This Row],[Extras]])*Settings!$D$12</f>
        <v>11831.7528</v>
      </c>
      <c r="S104" s="2">
        <f>Jobs[[#This Row],[Matrial/t]] + Jobs[[#This Row],[power/t]] + Jobs[[#This Row],[downturn/t]] + Jobs[[#This Row],[Maintenance/t]] + Jobs[[#This Row],[Coloring/t]] + Jobs[[#This Row],[overhead/t]] + Jobs[[#This Row],[Extras]]</f>
        <v>51270.928800000002</v>
      </c>
      <c r="T104" s="2">
        <f>S104*(1+Settings!$D$5)</f>
        <v>153812.78640000001</v>
      </c>
      <c r="U104" s="2">
        <f>Jobs[[#This Row],[Sugested Price/t]] - Jobs[[#This Row],[base price/t]]</f>
        <v>102541.85760000002</v>
      </c>
      <c r="V104" s="3">
        <f>IFERROR(Jobs[[#This Row],[Gross margin/t]] / Jobs[[#This Row],[base price/t]], 0)</f>
        <v>2.0000000000000004</v>
      </c>
    </row>
    <row r="105" spans="1:22" x14ac:dyDescent="0.25">
      <c r="A105" t="s">
        <v>200</v>
      </c>
      <c r="B105" s="18" t="s">
        <v>215</v>
      </c>
      <c r="C105" s="18">
        <v>1</v>
      </c>
      <c r="D105" t="s">
        <v>129</v>
      </c>
      <c r="E105" t="s">
        <v>5</v>
      </c>
      <c r="F105" t="s">
        <v>22</v>
      </c>
      <c r="G105" s="1">
        <v>10</v>
      </c>
      <c r="J105" s="37">
        <v>1.5277777777777777E-2</v>
      </c>
      <c r="K105" s="22"/>
      <c r="L105" s="2"/>
      <c r="M105" s="2">
        <f>_xlfn.LET(
    _xlpm.qty, C105,
    _xlpm.weight_g, G105 + H105 + Jobs[[#This Row],[Flushed/g]],
    _xlpm.material, TRIM(E105),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27300</v>
      </c>
      <c r="N105" s="2">
        <f>_xlfn.LET(
    _xlpm.qty, C105,
    _xlpm.hours, J105*24,
    _xlpm.power_w, _xlfn.XLOOKUP(TRIM(D105), Settings!$F$4:$F$101, Settings!$G$4:$G$101, 120),
    _xlpm.rate, Settings!$D$4,
    _xlpm.qty * _xlpm.hours * (_xlpm.power_w / 1000) * _xlpm.rate
)</f>
        <v>35.727999999999994</v>
      </c>
      <c r="O105" s="2">
        <f>_xlfn.LET(
    _xlpm.qty, C105,
    _xlpm.hours, J105*24,
    _xlpm.price, _xlfn.XLOOKUP(TRIM(D105), Settings!$F$4:$F$101, Settings!$H$4:$H$101, 0),
    _xlpm.life, _xlfn.XLOOKUP(TRIM(D105), Settings!$F$4:$F$101, Settings!$I$4:$I$101, 1),
    _xlpm.qty * _xlpm.hours * (_xlpm.price / _xlpm.life)
)</f>
        <v>6893.333333333333</v>
      </c>
      <c r="P105" s="2">
        <f>_xlfn.LET(
    _xlpm.qty, C105,
    _xlpm.hours, J105*24,
    _xlpm.price, _xlfn.XLOOKUP(TRIM(D105), Settings!$F$4:$F$101, Settings!$H$4:$H$101, 0),
    _xlpm.life, _xlfn.XLOOKUP(TRIM(D105), Settings!$F$4:$F$101, Settings!$I$4:$I$101, 1),
    _xlpm.pct, _xlfn.XLOOKUP(TRIM(D105), Settings!$F$4:$F$101, Settings!$J$4:$J$101, 0),
    _xlpm.qty * _xlpm.hours * (_xlpm.price / _xlpm.life * _xlpm.pct)
)</f>
        <v>344.66666666666663</v>
      </c>
      <c r="Q105" s="2">
        <f>Jobs[[#This Row],[Post Pro/h]]*Settings!$D$18</f>
        <v>0</v>
      </c>
      <c r="R105" s="2">
        <f>(Jobs[[#This Row],[power/t]]+Jobs[[#This Row],[Matrial/t]]+Jobs[[#This Row],[downturn/t]]+Jobs[[#This Row],[Maintenance/t]]+Jobs[[#This Row],[Coloring/t]]+Jobs[[#This Row],[Extras]])*Settings!$D$12</f>
        <v>10372.118399999998</v>
      </c>
      <c r="S105" s="2">
        <f>Jobs[[#This Row],[Matrial/t]] + Jobs[[#This Row],[power/t]] + Jobs[[#This Row],[downturn/t]] + Jobs[[#This Row],[Maintenance/t]] + Jobs[[#This Row],[Coloring/t]] + Jobs[[#This Row],[overhead/t]] + Jobs[[#This Row],[Extras]]</f>
        <v>44945.846399999995</v>
      </c>
      <c r="T105" s="2">
        <f>S105*(1+Settings!$D$5)</f>
        <v>134837.5392</v>
      </c>
      <c r="U105" s="2">
        <f>Jobs[[#This Row],[Sugested Price/t]] - Jobs[[#This Row],[base price/t]]</f>
        <v>89891.692800000004</v>
      </c>
      <c r="V105" s="3">
        <f>IFERROR(Jobs[[#This Row],[Gross margin/t]] / Jobs[[#This Row],[base price/t]], 0)</f>
        <v>2.0000000000000004</v>
      </c>
    </row>
    <row r="106" spans="1:22" x14ac:dyDescent="0.25">
      <c r="A106" t="s">
        <v>201</v>
      </c>
      <c r="B106" s="18" t="s">
        <v>216</v>
      </c>
      <c r="C106" s="18">
        <v>1</v>
      </c>
      <c r="D106" t="s">
        <v>129</v>
      </c>
      <c r="E106" t="s">
        <v>5</v>
      </c>
      <c r="F106" t="s">
        <v>22</v>
      </c>
      <c r="G106" s="1">
        <v>3.25</v>
      </c>
      <c r="J106" s="37">
        <v>6.2500000000000003E-3</v>
      </c>
      <c r="K106" s="22"/>
      <c r="L106" s="2"/>
      <c r="M106" s="2">
        <f>_xlfn.LET(
    _xlpm.qty, C106,
    _xlpm.weight_g, G106 + H106 + Jobs[[#This Row],[Flushed/g]],
    _xlpm.material, TRIM(E106),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8872.5</v>
      </c>
      <c r="N106" s="2">
        <f>_xlfn.LET(
    _xlpm.qty, C106,
    _xlpm.hours, J106*24,
    _xlpm.power_w, _xlfn.XLOOKUP(TRIM(D106), Settings!$F$4:$F$101, Settings!$G$4:$G$101, 120),
    _xlpm.rate, Settings!$D$4,
    _xlpm.qty * _xlpm.hours * (_xlpm.power_w / 1000) * _xlpm.rate
)</f>
        <v>14.616000000000001</v>
      </c>
      <c r="O106" s="2">
        <f>_xlfn.LET(
    _xlpm.qty, C106,
    _xlpm.hours, J106*24,
    _xlpm.price, _xlfn.XLOOKUP(TRIM(D106), Settings!$F$4:$F$101, Settings!$H$4:$H$101, 0),
    _xlpm.life, _xlfn.XLOOKUP(TRIM(D106), Settings!$F$4:$F$101, Settings!$I$4:$I$101, 1),
    _xlpm.qty * _xlpm.hours * (_xlpm.price / _xlpm.life)
)</f>
        <v>2820.0000000000005</v>
      </c>
      <c r="P106" s="2">
        <f>_xlfn.LET(
    _xlpm.qty, C106,
    _xlpm.hours, J106*24,
    _xlpm.price, _xlfn.XLOOKUP(TRIM(D106), Settings!$F$4:$F$101, Settings!$H$4:$H$101, 0),
    _xlpm.life, _xlfn.XLOOKUP(TRIM(D106), Settings!$F$4:$F$101, Settings!$I$4:$I$101, 1),
    _xlpm.pct, _xlfn.XLOOKUP(TRIM(D106), Settings!$F$4:$F$101, Settings!$J$4:$J$101, 0),
    _xlpm.qty * _xlpm.hours * (_xlpm.price / _xlpm.life * _xlpm.pct)
)</f>
        <v>141.00000000000003</v>
      </c>
      <c r="Q106" s="2">
        <f>Jobs[[#This Row],[Post Pro/h]]*Settings!$D$18</f>
        <v>0</v>
      </c>
      <c r="R106" s="2">
        <f>(Jobs[[#This Row],[power/t]]+Jobs[[#This Row],[Matrial/t]]+Jobs[[#This Row],[downturn/t]]+Jobs[[#This Row],[Maintenance/t]]+Jobs[[#This Row],[Coloring/t]]+Jobs[[#This Row],[Extras]])*Settings!$D$12</f>
        <v>3554.4348</v>
      </c>
      <c r="S106" s="2">
        <f>Jobs[[#This Row],[Matrial/t]] + Jobs[[#This Row],[power/t]] + Jobs[[#This Row],[downturn/t]] + Jobs[[#This Row],[Maintenance/t]] + Jobs[[#This Row],[Coloring/t]] + Jobs[[#This Row],[overhead/t]] + Jobs[[#This Row],[Extras]]</f>
        <v>15402.550800000001</v>
      </c>
      <c r="T106" s="2">
        <f>S106*(1+Settings!$D$5)</f>
        <v>46207.652400000006</v>
      </c>
      <c r="U106" s="2">
        <f>Jobs[[#This Row],[Sugested Price/t]] - Jobs[[#This Row],[base price/t]]</f>
        <v>30805.101600000005</v>
      </c>
      <c r="V106" s="3">
        <f>IFERROR(Jobs[[#This Row],[Gross margin/t]] / Jobs[[#This Row],[base price/t]], 0)</f>
        <v>2.0000000000000004</v>
      </c>
    </row>
    <row r="107" spans="1:22" x14ac:dyDescent="0.25">
      <c r="A107" t="s">
        <v>202</v>
      </c>
      <c r="B107" s="18" t="s">
        <v>217</v>
      </c>
      <c r="C107" s="18">
        <v>1</v>
      </c>
      <c r="D107" t="s">
        <v>129</v>
      </c>
      <c r="E107" t="s">
        <v>5</v>
      </c>
      <c r="F107" t="s">
        <v>22</v>
      </c>
      <c r="G107" s="1">
        <v>3.2</v>
      </c>
      <c r="J107" s="37">
        <v>5.5555555555555558E-3</v>
      </c>
      <c r="K107" s="22"/>
      <c r="L107" s="2"/>
      <c r="M107" s="2">
        <f>_xlfn.LET(
    _xlpm.qty, C107,
    _xlpm.weight_g, G107 + H107 + Jobs[[#This Row],[Flushed/g]],
    _xlpm.material, TRIM(E107),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8736</v>
      </c>
      <c r="N107" s="2">
        <f>_xlfn.LET(
    _xlpm.qty, C107,
    _xlpm.hours, J107*24,
    _xlpm.power_w, _xlfn.XLOOKUP(TRIM(D107), Settings!$F$4:$F$101, Settings!$G$4:$G$101, 120),
    _xlpm.rate, Settings!$D$4,
    _xlpm.qty * _xlpm.hours * (_xlpm.power_w / 1000) * _xlpm.rate
)</f>
        <v>12.992000000000001</v>
      </c>
      <c r="O107" s="2">
        <f>_xlfn.LET(
    _xlpm.qty, C107,
    _xlpm.hours, J107*24,
    _xlpm.price, _xlfn.XLOOKUP(TRIM(D107), Settings!$F$4:$F$101, Settings!$H$4:$H$101, 0),
    _xlpm.life, _xlfn.XLOOKUP(TRIM(D107), Settings!$F$4:$F$101, Settings!$I$4:$I$101, 1),
    _xlpm.qty * _xlpm.hours * (_xlpm.price / _xlpm.life)
)</f>
        <v>2506.6666666666665</v>
      </c>
      <c r="P107" s="2">
        <f>_xlfn.LET(
    _xlpm.qty, C107,
    _xlpm.hours, J107*24,
    _xlpm.price, _xlfn.XLOOKUP(TRIM(D107), Settings!$F$4:$F$101, Settings!$H$4:$H$101, 0),
    _xlpm.life, _xlfn.XLOOKUP(TRIM(D107), Settings!$F$4:$F$101, Settings!$I$4:$I$101, 1),
    _xlpm.pct, _xlfn.XLOOKUP(TRIM(D107), Settings!$F$4:$F$101, Settings!$J$4:$J$101, 0),
    _xlpm.qty * _xlpm.hours * (_xlpm.price / _xlpm.life * _xlpm.pct)
)</f>
        <v>125.33333333333333</v>
      </c>
      <c r="Q107" s="2">
        <f>Jobs[[#This Row],[Post Pro/h]]*Settings!$D$18</f>
        <v>0</v>
      </c>
      <c r="R107" s="2">
        <f>(Jobs[[#This Row],[power/t]]+Jobs[[#This Row],[Matrial/t]]+Jobs[[#This Row],[downturn/t]]+Jobs[[#This Row],[Maintenance/t]]+Jobs[[#This Row],[Coloring/t]]+Jobs[[#This Row],[Extras]])*Settings!$D$12</f>
        <v>3414.2975999999999</v>
      </c>
      <c r="S107" s="2">
        <f>Jobs[[#This Row],[Matrial/t]] + Jobs[[#This Row],[power/t]] + Jobs[[#This Row],[downturn/t]] + Jobs[[#This Row],[Maintenance/t]] + Jobs[[#This Row],[Coloring/t]] + Jobs[[#This Row],[overhead/t]] + Jobs[[#This Row],[Extras]]</f>
        <v>14795.2896</v>
      </c>
      <c r="T107" s="2">
        <f>S107*(1+Settings!$D$5)</f>
        <v>44385.868799999997</v>
      </c>
      <c r="U107" s="2">
        <f>Jobs[[#This Row],[Sugested Price/t]] - Jobs[[#This Row],[base price/t]]</f>
        <v>29590.579199999996</v>
      </c>
      <c r="V107" s="3">
        <f>IFERROR(Jobs[[#This Row],[Gross margin/t]] / Jobs[[#This Row],[base price/t]], 0)</f>
        <v>1.9999999999999998</v>
      </c>
    </row>
    <row r="108" spans="1:22" x14ac:dyDescent="0.25">
      <c r="A108" t="s">
        <v>203</v>
      </c>
      <c r="B108" s="18" t="s">
        <v>218</v>
      </c>
      <c r="C108" s="18">
        <v>1</v>
      </c>
      <c r="D108" t="s">
        <v>129</v>
      </c>
      <c r="E108" t="s">
        <v>5</v>
      </c>
      <c r="F108" t="s">
        <v>22</v>
      </c>
      <c r="G108" s="1">
        <v>2.57</v>
      </c>
      <c r="J108" s="37">
        <v>5.5555555555555558E-3</v>
      </c>
      <c r="K108" s="22"/>
      <c r="L108" s="2"/>
      <c r="M108" s="2">
        <f>_xlfn.LET(
    _xlpm.qty, C108,
    _xlpm.weight_g, G108 + H108 + Jobs[[#This Row],[Flushed/g]],
    _xlpm.material, TRIM(E108),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7016.0999999999995</v>
      </c>
      <c r="N108" s="2">
        <f>_xlfn.LET(
    _xlpm.qty, C108,
    _xlpm.hours, J108*24,
    _xlpm.power_w, _xlfn.XLOOKUP(TRIM(D108), Settings!$F$4:$F$101, Settings!$G$4:$G$101, 120),
    _xlpm.rate, Settings!$D$4,
    _xlpm.qty * _xlpm.hours * (_xlpm.power_w / 1000) * _xlpm.rate
)</f>
        <v>12.992000000000001</v>
      </c>
      <c r="O108" s="2">
        <f>_xlfn.LET(
    _xlpm.qty, C108,
    _xlpm.hours, J108*24,
    _xlpm.price, _xlfn.XLOOKUP(TRIM(D108), Settings!$F$4:$F$101, Settings!$H$4:$H$101, 0),
    _xlpm.life, _xlfn.XLOOKUP(TRIM(D108), Settings!$F$4:$F$101, Settings!$I$4:$I$101, 1),
    _xlpm.qty * _xlpm.hours * (_xlpm.price / _xlpm.life)
)</f>
        <v>2506.6666666666665</v>
      </c>
      <c r="P108" s="2">
        <f>_xlfn.LET(
    _xlpm.qty, C108,
    _xlpm.hours, J108*24,
    _xlpm.price, _xlfn.XLOOKUP(TRIM(D108), Settings!$F$4:$F$101, Settings!$H$4:$H$101, 0),
    _xlpm.life, _xlfn.XLOOKUP(TRIM(D108), Settings!$F$4:$F$101, Settings!$I$4:$I$101, 1),
    _xlpm.pct, _xlfn.XLOOKUP(TRIM(D108), Settings!$F$4:$F$101, Settings!$J$4:$J$101, 0),
    _xlpm.qty * _xlpm.hours * (_xlpm.price / _xlpm.life * _xlpm.pct)
)</f>
        <v>125.33333333333333</v>
      </c>
      <c r="Q108" s="2">
        <f>Jobs[[#This Row],[Post Pro/h]]*Settings!$D$18</f>
        <v>0</v>
      </c>
      <c r="R108" s="2">
        <f>(Jobs[[#This Row],[power/t]]+Jobs[[#This Row],[Matrial/t]]+Jobs[[#This Row],[downturn/t]]+Jobs[[#This Row],[Maintenance/t]]+Jobs[[#This Row],[Coloring/t]]+Jobs[[#This Row],[Extras]])*Settings!$D$12</f>
        <v>2898.3276000000001</v>
      </c>
      <c r="S108" s="2">
        <f>Jobs[[#This Row],[Matrial/t]] + Jobs[[#This Row],[power/t]] + Jobs[[#This Row],[downturn/t]] + Jobs[[#This Row],[Maintenance/t]] + Jobs[[#This Row],[Coloring/t]] + Jobs[[#This Row],[overhead/t]] + Jobs[[#This Row],[Extras]]</f>
        <v>12559.419600000001</v>
      </c>
      <c r="T108" s="2">
        <f>S108*(1+Settings!$D$5)</f>
        <v>37678.258800000003</v>
      </c>
      <c r="U108" s="2">
        <f>Jobs[[#This Row],[Sugested Price/t]] - Jobs[[#This Row],[base price/t]]</f>
        <v>25118.839200000002</v>
      </c>
      <c r="V108" s="3">
        <f>IFERROR(Jobs[[#This Row],[Gross margin/t]] / Jobs[[#This Row],[base price/t]], 0)</f>
        <v>2</v>
      </c>
    </row>
    <row r="109" spans="1:22" x14ac:dyDescent="0.25">
      <c r="A109" t="s">
        <v>204</v>
      </c>
      <c r="B109" s="18" t="s">
        <v>219</v>
      </c>
      <c r="C109" s="18">
        <v>1</v>
      </c>
      <c r="D109" t="s">
        <v>129</v>
      </c>
      <c r="E109" t="s">
        <v>5</v>
      </c>
      <c r="F109" t="s">
        <v>22</v>
      </c>
      <c r="G109" s="1">
        <v>3.31</v>
      </c>
      <c r="J109" s="37">
        <v>6.9444444444444441E-3</v>
      </c>
      <c r="K109" s="22"/>
      <c r="L109" s="2"/>
      <c r="M109" s="2">
        <f>_xlfn.LET(
    _xlpm.qty, C109,
    _xlpm.weight_g, G109 + H109 + Jobs[[#This Row],[Flushed/g]],
    _xlpm.material, TRIM(E109),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9036.3000000000011</v>
      </c>
      <c r="N109" s="2">
        <f>_xlfn.LET(
    _xlpm.qty, C109,
    _xlpm.hours, J109*24,
    _xlpm.power_w, _xlfn.XLOOKUP(TRIM(D109), Settings!$F$4:$F$101, Settings!$G$4:$G$101, 120),
    _xlpm.rate, Settings!$D$4,
    _xlpm.qty * _xlpm.hours * (_xlpm.power_w / 1000) * _xlpm.rate
)</f>
        <v>16.239999999999998</v>
      </c>
      <c r="O109" s="2">
        <f>_xlfn.LET(
    _xlpm.qty, C109,
    _xlpm.hours, J109*24,
    _xlpm.price, _xlfn.XLOOKUP(TRIM(D109), Settings!$F$4:$F$101, Settings!$H$4:$H$101, 0),
    _xlpm.life, _xlfn.XLOOKUP(TRIM(D109), Settings!$F$4:$F$101, Settings!$I$4:$I$101, 1),
    _xlpm.qty * _xlpm.hours * (_xlpm.price / _xlpm.life)
)</f>
        <v>3133.333333333333</v>
      </c>
      <c r="P109" s="2">
        <f>_xlfn.LET(
    _xlpm.qty, C109,
    _xlpm.hours, J109*24,
    _xlpm.price, _xlfn.XLOOKUP(TRIM(D109), Settings!$F$4:$F$101, Settings!$H$4:$H$101, 0),
    _xlpm.life, _xlfn.XLOOKUP(TRIM(D109), Settings!$F$4:$F$101, Settings!$I$4:$I$101, 1),
    _xlpm.pct, _xlfn.XLOOKUP(TRIM(D109), Settings!$F$4:$F$101, Settings!$J$4:$J$101, 0),
    _xlpm.qty * _xlpm.hours * (_xlpm.price / _xlpm.life * _xlpm.pct)
)</f>
        <v>156.66666666666666</v>
      </c>
      <c r="Q109" s="2">
        <f>Jobs[[#This Row],[Post Pro/h]]*Settings!$D$18</f>
        <v>0</v>
      </c>
      <c r="R109" s="2">
        <f>(Jobs[[#This Row],[power/t]]+Jobs[[#This Row],[Matrial/t]]+Jobs[[#This Row],[downturn/t]]+Jobs[[#This Row],[Maintenance/t]]+Jobs[[#This Row],[Coloring/t]]+Jobs[[#This Row],[Extras]])*Settings!$D$12</f>
        <v>3702.7619999999997</v>
      </c>
      <c r="S109" s="2">
        <f>Jobs[[#This Row],[Matrial/t]] + Jobs[[#This Row],[power/t]] + Jobs[[#This Row],[downturn/t]] + Jobs[[#This Row],[Maintenance/t]] + Jobs[[#This Row],[Coloring/t]] + Jobs[[#This Row],[overhead/t]] + Jobs[[#This Row],[Extras]]</f>
        <v>16045.302</v>
      </c>
      <c r="T109" s="2">
        <f>S109*(1+Settings!$D$5)</f>
        <v>48135.906000000003</v>
      </c>
      <c r="U109" s="2">
        <f>Jobs[[#This Row],[Sugested Price/t]] - Jobs[[#This Row],[base price/t]]</f>
        <v>32090.604000000003</v>
      </c>
      <c r="V109" s="3">
        <f>IFERROR(Jobs[[#This Row],[Gross margin/t]] / Jobs[[#This Row],[base price/t]], 0)</f>
        <v>2.0000000000000004</v>
      </c>
    </row>
    <row r="110" spans="1:22" x14ac:dyDescent="0.25">
      <c r="A110" t="s">
        <v>220</v>
      </c>
      <c r="B110" s="18" t="s">
        <v>221</v>
      </c>
      <c r="C110" s="18">
        <v>1</v>
      </c>
      <c r="D110" t="s">
        <v>129</v>
      </c>
      <c r="E110" t="s">
        <v>5</v>
      </c>
      <c r="F110" t="s">
        <v>22</v>
      </c>
      <c r="G110" s="1">
        <v>48</v>
      </c>
      <c r="J110" s="37">
        <v>8.3333333333333329E-2</v>
      </c>
      <c r="K110" s="22"/>
      <c r="L110" s="2"/>
      <c r="M110" s="2">
        <f>_xlfn.LET(
    _xlpm.qty, C110,
    _xlpm.weight_g, G110 + H110 + Jobs[[#This Row],[Flushed/g]],
    _xlpm.material, TRIM(E110),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131040</v>
      </c>
      <c r="N110" s="2">
        <f>_xlfn.LET(
    _xlpm.qty, C110,
    _xlpm.hours, J110*24,
    _xlpm.power_w, _xlfn.XLOOKUP(TRIM(D110), Settings!$F$4:$F$101, Settings!$G$4:$G$101, 120),
    _xlpm.rate, Settings!$D$4,
    _xlpm.qty * _xlpm.hours * (_xlpm.power_w / 1000) * _xlpm.rate
)</f>
        <v>194.88</v>
      </c>
      <c r="O110" s="2">
        <f>_xlfn.LET(
    _xlpm.qty, C110,
    _xlpm.hours, J110*24,
    _xlpm.price, _xlfn.XLOOKUP(TRIM(D110), Settings!$F$4:$F$101, Settings!$H$4:$H$101, 0),
    _xlpm.life, _xlfn.XLOOKUP(TRIM(D110), Settings!$F$4:$F$101, Settings!$I$4:$I$101, 1),
    _xlpm.qty * _xlpm.hours * (_xlpm.price / _xlpm.life)
)</f>
        <v>37600</v>
      </c>
      <c r="P110" s="2">
        <f>_xlfn.LET(
    _xlpm.qty, C110,
    _xlpm.hours, J110*24,
    _xlpm.price, _xlfn.XLOOKUP(TRIM(D110), Settings!$F$4:$F$101, Settings!$H$4:$H$101, 0),
    _xlpm.life, _xlfn.XLOOKUP(TRIM(D110), Settings!$F$4:$F$101, Settings!$I$4:$I$101, 1),
    _xlpm.pct, _xlfn.XLOOKUP(TRIM(D110), Settings!$F$4:$F$101, Settings!$J$4:$J$101, 0),
    _xlpm.qty * _xlpm.hours * (_xlpm.price / _xlpm.life * _xlpm.pct)
)</f>
        <v>1880</v>
      </c>
      <c r="Q110" s="2">
        <f>Jobs[[#This Row],[Post Pro/h]]*Settings!$D$18</f>
        <v>0</v>
      </c>
      <c r="R110" s="2">
        <f>(Jobs[[#This Row],[power/t]]+Jobs[[#This Row],[Matrial/t]]+Jobs[[#This Row],[downturn/t]]+Jobs[[#This Row],[Maintenance/t]]+Jobs[[#This Row],[Coloring/t]]+Jobs[[#This Row],[Extras]])*Settings!$D$12</f>
        <v>51214.464</v>
      </c>
      <c r="S110" s="2">
        <f>Jobs[[#This Row],[Matrial/t]] + Jobs[[#This Row],[power/t]] + Jobs[[#This Row],[downturn/t]] + Jobs[[#This Row],[Maintenance/t]] + Jobs[[#This Row],[Coloring/t]] + Jobs[[#This Row],[overhead/t]] + Jobs[[#This Row],[Extras]]</f>
        <v>221929.34400000001</v>
      </c>
      <c r="T110" s="2">
        <f>S110*(1+Settings!$D$5)</f>
        <v>665788.03200000001</v>
      </c>
      <c r="U110" s="2">
        <f>Jobs[[#This Row],[Sugested Price/t]] - Jobs[[#This Row],[base price/t]]</f>
        <v>443858.68799999997</v>
      </c>
      <c r="V110" s="3">
        <f>IFERROR(Jobs[[#This Row],[Gross margin/t]] / Jobs[[#This Row],[base price/t]], 0)</f>
        <v>1.9999999999999998</v>
      </c>
    </row>
    <row r="111" spans="1:22" x14ac:dyDescent="0.25">
      <c r="A111" t="s">
        <v>222</v>
      </c>
      <c r="B111" s="18" t="s">
        <v>223</v>
      </c>
      <c r="C111" s="18">
        <v>1</v>
      </c>
      <c r="D111" t="s">
        <v>129</v>
      </c>
      <c r="E111" t="s">
        <v>5</v>
      </c>
      <c r="F111" t="s">
        <v>22</v>
      </c>
      <c r="G111" s="1">
        <v>73.3</v>
      </c>
      <c r="J111" s="37">
        <v>0.10694444444444444</v>
      </c>
      <c r="K111" s="22"/>
      <c r="L111" s="2"/>
      <c r="M111" s="2">
        <f>_xlfn.LET(
    _xlpm.qty, C111,
    _xlpm.weight_g, G111 + H111 + Jobs[[#This Row],[Flushed/g]],
    _xlpm.material, TRIM(E111),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200109</v>
      </c>
      <c r="N111" s="2">
        <f>_xlfn.LET(
    _xlpm.qty, C111,
    _xlpm.hours, J111*24,
    _xlpm.power_w, _xlfn.XLOOKUP(TRIM(D111), Settings!$F$4:$F$101, Settings!$G$4:$G$101, 120),
    _xlpm.rate, Settings!$D$4,
    _xlpm.qty * _xlpm.hours * (_xlpm.power_w / 1000) * _xlpm.rate
)</f>
        <v>250.09599999999995</v>
      </c>
      <c r="O111" s="2">
        <f>_xlfn.LET(
    _xlpm.qty, C111,
    _xlpm.hours, J111*24,
    _xlpm.price, _xlfn.XLOOKUP(TRIM(D111), Settings!$F$4:$F$101, Settings!$H$4:$H$101, 0),
    _xlpm.life, _xlfn.XLOOKUP(TRIM(D111), Settings!$F$4:$F$101, Settings!$I$4:$I$101, 1),
    _xlpm.qty * _xlpm.hours * (_xlpm.price / _xlpm.life)
)</f>
        <v>48253.333333333328</v>
      </c>
      <c r="P111" s="2">
        <f>_xlfn.LET(
    _xlpm.qty, C111,
    _xlpm.hours, J111*24,
    _xlpm.price, _xlfn.XLOOKUP(TRIM(D111), Settings!$F$4:$F$101, Settings!$H$4:$H$101, 0),
    _xlpm.life, _xlfn.XLOOKUP(TRIM(D111), Settings!$F$4:$F$101, Settings!$I$4:$I$101, 1),
    _xlpm.pct, _xlfn.XLOOKUP(TRIM(D111), Settings!$F$4:$F$101, Settings!$J$4:$J$101, 0),
    _xlpm.qty * _xlpm.hours * (_xlpm.price / _xlpm.life * _xlpm.pct)
)</f>
        <v>2412.6666666666665</v>
      </c>
      <c r="Q111" s="2">
        <f>Jobs[[#This Row],[Post Pro/h]]*Settings!$D$18</f>
        <v>0</v>
      </c>
      <c r="R111" s="2">
        <f>(Jobs[[#This Row],[power/t]]+Jobs[[#This Row],[Matrial/t]]+Jobs[[#This Row],[downturn/t]]+Jobs[[#This Row],[Maintenance/t]]+Jobs[[#This Row],[Coloring/t]]+Jobs[[#This Row],[Extras]])*Settings!$D$12</f>
        <v>75307.5288</v>
      </c>
      <c r="S111" s="2">
        <f>Jobs[[#This Row],[Matrial/t]] + Jobs[[#This Row],[power/t]] + Jobs[[#This Row],[downturn/t]] + Jobs[[#This Row],[Maintenance/t]] + Jobs[[#This Row],[Coloring/t]] + Jobs[[#This Row],[overhead/t]] + Jobs[[#This Row],[Extras]]</f>
        <v>326332.62479999999</v>
      </c>
      <c r="T111" s="2">
        <f>S111*(1+Settings!$D$5)</f>
        <v>978997.87439999997</v>
      </c>
      <c r="U111" s="2">
        <f>Jobs[[#This Row],[Sugested Price/t]] - Jobs[[#This Row],[base price/t]]</f>
        <v>652665.24959999998</v>
      </c>
      <c r="V111" s="3">
        <f>IFERROR(Jobs[[#This Row],[Gross margin/t]] / Jobs[[#This Row],[base price/t]], 0)</f>
        <v>2</v>
      </c>
    </row>
    <row r="112" spans="1:22" x14ac:dyDescent="0.25">
      <c r="A112" t="s">
        <v>224</v>
      </c>
      <c r="B112" s="18" t="s">
        <v>225</v>
      </c>
      <c r="C112" s="18">
        <v>1</v>
      </c>
      <c r="D112" t="s">
        <v>129</v>
      </c>
      <c r="E112" t="s">
        <v>5</v>
      </c>
      <c r="F112" t="s">
        <v>22</v>
      </c>
      <c r="G112" s="1">
        <v>143.19999999999999</v>
      </c>
      <c r="J112" s="37">
        <v>0.17430555555555555</v>
      </c>
      <c r="K112" s="22"/>
      <c r="L112" s="2"/>
      <c r="M112" s="2">
        <f>_xlfn.LET(
    _xlpm.qty, C112,
    _xlpm.weight_g, G112 + H112 + Jobs[[#This Row],[Flushed/g]],
    _xlpm.material, TRIM(E112),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390936</v>
      </c>
      <c r="N112" s="2">
        <f>_xlfn.LET(
    _xlpm.qty, C112,
    _xlpm.hours, J112*24,
    _xlpm.power_w, _xlfn.XLOOKUP(TRIM(D112), Settings!$F$4:$F$101, Settings!$G$4:$G$101, 120),
    _xlpm.rate, Settings!$D$4,
    _xlpm.qty * _xlpm.hours * (_xlpm.power_w / 1000) * _xlpm.rate
)</f>
        <v>407.62400000000002</v>
      </c>
      <c r="O112" s="2">
        <f>_xlfn.LET(
    _xlpm.qty, C112,
    _xlpm.hours, J112*24,
    _xlpm.price, _xlfn.XLOOKUP(TRIM(D112), Settings!$F$4:$F$101, Settings!$H$4:$H$101, 0),
    _xlpm.life, _xlfn.XLOOKUP(TRIM(D112), Settings!$F$4:$F$101, Settings!$I$4:$I$101, 1),
    _xlpm.qty * _xlpm.hours * (_xlpm.price / _xlpm.life)
)</f>
        <v>78646.666666666672</v>
      </c>
      <c r="P112" s="2">
        <f>_xlfn.LET(
    _xlpm.qty, C112,
    _xlpm.hours, J112*24,
    _xlpm.price, _xlfn.XLOOKUP(TRIM(D112), Settings!$F$4:$F$101, Settings!$H$4:$H$101, 0),
    _xlpm.life, _xlfn.XLOOKUP(TRIM(D112), Settings!$F$4:$F$101, Settings!$I$4:$I$101, 1),
    _xlpm.pct, _xlfn.XLOOKUP(TRIM(D112), Settings!$F$4:$F$101, Settings!$J$4:$J$101, 0),
    _xlpm.qty * _xlpm.hours * (_xlpm.price / _xlpm.life * _xlpm.pct)
)</f>
        <v>3932.3333333333335</v>
      </c>
      <c r="Q112" s="2">
        <f>Jobs[[#This Row],[Post Pro/h]]*Settings!$D$18</f>
        <v>0</v>
      </c>
      <c r="R112" s="2">
        <f>(Jobs[[#This Row],[power/t]]+Jobs[[#This Row],[Matrial/t]]+Jobs[[#This Row],[downturn/t]]+Jobs[[#This Row],[Maintenance/t]]+Jobs[[#This Row],[Coloring/t]]+Jobs[[#This Row],[Extras]])*Settings!$D$12</f>
        <v>142176.78719999999</v>
      </c>
      <c r="S112" s="2">
        <f>Jobs[[#This Row],[Matrial/t]] + Jobs[[#This Row],[power/t]] + Jobs[[#This Row],[downturn/t]] + Jobs[[#This Row],[Maintenance/t]] + Jobs[[#This Row],[Coloring/t]] + Jobs[[#This Row],[overhead/t]] + Jobs[[#This Row],[Extras]]</f>
        <v>616099.41119999997</v>
      </c>
      <c r="T112" s="2">
        <f>S112*(1+Settings!$D$5)</f>
        <v>1848298.2335999999</v>
      </c>
      <c r="U112" s="2">
        <f>Jobs[[#This Row],[Sugested Price/t]] - Jobs[[#This Row],[base price/t]]</f>
        <v>1232198.8223999999</v>
      </c>
      <c r="V112" s="3">
        <f>IFERROR(Jobs[[#This Row],[Gross margin/t]] / Jobs[[#This Row],[base price/t]], 0)</f>
        <v>2</v>
      </c>
    </row>
    <row r="113" spans="1:22" x14ac:dyDescent="0.25">
      <c r="A113" t="s">
        <v>226</v>
      </c>
      <c r="B113" s="18" t="s">
        <v>227</v>
      </c>
      <c r="C113" s="18">
        <v>1</v>
      </c>
      <c r="D113" t="s">
        <v>129</v>
      </c>
      <c r="E113" t="s">
        <v>5</v>
      </c>
      <c r="F113" t="s">
        <v>22</v>
      </c>
      <c r="G113" s="1">
        <v>86.84</v>
      </c>
      <c r="J113" s="37">
        <v>0.14791666666666667</v>
      </c>
      <c r="K113" s="22"/>
      <c r="L113" s="2"/>
      <c r="M113" s="2">
        <f>_xlfn.LET(
    _xlpm.qty, C113,
    _xlpm.weight_g, G113 + H113 + Jobs[[#This Row],[Flushed/g]],
    _xlpm.material, TRIM(E113),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237073.2</v>
      </c>
      <c r="N113" s="2">
        <f>_xlfn.LET(
    _xlpm.qty, C113,
    _xlpm.hours, J113*24,
    _xlpm.power_w, _xlfn.XLOOKUP(TRIM(D113), Settings!$F$4:$F$101, Settings!$G$4:$G$101, 120),
    _xlpm.rate, Settings!$D$4,
    _xlpm.qty * _xlpm.hours * (_xlpm.power_w / 1000) * _xlpm.rate
)</f>
        <v>345.91199999999998</v>
      </c>
      <c r="O113" s="2">
        <f>_xlfn.LET(
    _xlpm.qty, C113,
    _xlpm.hours, J113*24,
    _xlpm.price, _xlfn.XLOOKUP(TRIM(D113), Settings!$F$4:$F$101, Settings!$H$4:$H$101, 0),
    _xlpm.life, _xlfn.XLOOKUP(TRIM(D113), Settings!$F$4:$F$101, Settings!$I$4:$I$101, 1),
    _xlpm.qty * _xlpm.hours * (_xlpm.price / _xlpm.life)
)</f>
        <v>66740</v>
      </c>
      <c r="P113" s="2">
        <f>_xlfn.LET(
    _xlpm.qty, C113,
    _xlpm.hours, J113*24,
    _xlpm.price, _xlfn.XLOOKUP(TRIM(D113), Settings!$F$4:$F$101, Settings!$H$4:$H$101, 0),
    _xlpm.life, _xlfn.XLOOKUP(TRIM(D113), Settings!$F$4:$F$101, Settings!$I$4:$I$101, 1),
    _xlpm.pct, _xlfn.XLOOKUP(TRIM(D113), Settings!$F$4:$F$101, Settings!$J$4:$J$101, 0),
    _xlpm.qty * _xlpm.hours * (_xlpm.price / _xlpm.life * _xlpm.pct)
)</f>
        <v>3337</v>
      </c>
      <c r="Q113" s="2">
        <f>Jobs[[#This Row],[Post Pro/h]]*Settings!$D$18</f>
        <v>0</v>
      </c>
      <c r="R113" s="2">
        <f>(Jobs[[#This Row],[power/t]]+Jobs[[#This Row],[Matrial/t]]+Jobs[[#This Row],[downturn/t]]+Jobs[[#This Row],[Maintenance/t]]+Jobs[[#This Row],[Coloring/t]]+Jobs[[#This Row],[Extras]])*Settings!$D$12</f>
        <v>92248.833599999998</v>
      </c>
      <c r="S113" s="2">
        <f>Jobs[[#This Row],[Matrial/t]] + Jobs[[#This Row],[power/t]] + Jobs[[#This Row],[downturn/t]] + Jobs[[#This Row],[Maintenance/t]] + Jobs[[#This Row],[Coloring/t]] + Jobs[[#This Row],[overhead/t]] + Jobs[[#This Row],[Extras]]</f>
        <v>399744.94560000004</v>
      </c>
      <c r="T113" s="2">
        <f>S113*(1+Settings!$D$5)</f>
        <v>1199234.8368000002</v>
      </c>
      <c r="U113" s="2">
        <f>Jobs[[#This Row],[Sugested Price/t]] - Jobs[[#This Row],[base price/t]]</f>
        <v>799489.89120000019</v>
      </c>
      <c r="V113" s="3">
        <f>IFERROR(Jobs[[#This Row],[Gross margin/t]] / Jobs[[#This Row],[base price/t]], 0)</f>
        <v>2.0000000000000004</v>
      </c>
    </row>
    <row r="114" spans="1:22" x14ac:dyDescent="0.25">
      <c r="A114" t="s">
        <v>228</v>
      </c>
      <c r="B114" s="18" t="s">
        <v>229</v>
      </c>
      <c r="C114" s="18">
        <v>1</v>
      </c>
      <c r="D114" t="s">
        <v>129</v>
      </c>
      <c r="E114" t="s">
        <v>5</v>
      </c>
      <c r="F114" t="s">
        <v>22</v>
      </c>
      <c r="G114" s="1">
        <v>160</v>
      </c>
      <c r="J114" s="37">
        <v>0.27986111111111112</v>
      </c>
      <c r="K114" s="22"/>
      <c r="L114" s="2"/>
      <c r="M114" s="2">
        <f>_xlfn.LET(
    _xlpm.qty, C114,
    _xlpm.weight_g, G114 + H114 + Jobs[[#This Row],[Flushed/g]],
    _xlpm.material, TRIM(E114),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436800</v>
      </c>
      <c r="N114" s="2">
        <f>_xlfn.LET(
    _xlpm.qty, C114,
    _xlpm.hours, J114*24,
    _xlpm.power_w, _xlfn.XLOOKUP(TRIM(D114), Settings!$F$4:$F$101, Settings!$G$4:$G$101, 120),
    _xlpm.rate, Settings!$D$4,
    _xlpm.qty * _xlpm.hours * (_xlpm.power_w / 1000) * _xlpm.rate
)</f>
        <v>654.47199999999998</v>
      </c>
      <c r="O114" s="2">
        <f>_xlfn.LET(
    _xlpm.qty, C114,
    _xlpm.hours, J114*24,
    _xlpm.price, _xlfn.XLOOKUP(TRIM(D114), Settings!$F$4:$F$101, Settings!$H$4:$H$101, 0),
    _xlpm.life, _xlfn.XLOOKUP(TRIM(D114), Settings!$F$4:$F$101, Settings!$I$4:$I$101, 1),
    _xlpm.qty * _xlpm.hours * (_xlpm.price / _xlpm.life)
)</f>
        <v>126273.33333333333</v>
      </c>
      <c r="P114" s="2">
        <f>_xlfn.LET(
    _xlpm.qty, C114,
    _xlpm.hours, J114*24,
    _xlpm.price, _xlfn.XLOOKUP(TRIM(D114), Settings!$F$4:$F$101, Settings!$H$4:$H$101, 0),
    _xlpm.life, _xlfn.XLOOKUP(TRIM(D114), Settings!$F$4:$F$101, Settings!$I$4:$I$101, 1),
    _xlpm.pct, _xlfn.XLOOKUP(TRIM(D114), Settings!$F$4:$F$101, Settings!$J$4:$J$101, 0),
    _xlpm.qty * _xlpm.hours * (_xlpm.price / _xlpm.life * _xlpm.pct)
)</f>
        <v>6313.666666666667</v>
      </c>
      <c r="Q114" s="2">
        <f>Jobs[[#This Row],[Post Pro/h]]*Settings!$D$18</f>
        <v>0</v>
      </c>
      <c r="R114" s="2">
        <f>(Jobs[[#This Row],[power/t]]+Jobs[[#This Row],[Matrial/t]]+Jobs[[#This Row],[downturn/t]]+Jobs[[#This Row],[Maintenance/t]]+Jobs[[#This Row],[Coloring/t]]+Jobs[[#This Row],[Extras]])*Settings!$D$12</f>
        <v>171012.44159999999</v>
      </c>
      <c r="S114" s="2">
        <f>Jobs[[#This Row],[Matrial/t]] + Jobs[[#This Row],[power/t]] + Jobs[[#This Row],[downturn/t]] + Jobs[[#This Row],[Maintenance/t]] + Jobs[[#This Row],[Coloring/t]] + Jobs[[#This Row],[overhead/t]] + Jobs[[#This Row],[Extras]]</f>
        <v>741053.91359999997</v>
      </c>
      <c r="T114" s="2">
        <f>S114*(1+Settings!$D$5)</f>
        <v>2223161.7407999998</v>
      </c>
      <c r="U114" s="2">
        <f>Jobs[[#This Row],[Sugested Price/t]] - Jobs[[#This Row],[base price/t]]</f>
        <v>1482107.8271999997</v>
      </c>
      <c r="V114" s="3">
        <f>IFERROR(Jobs[[#This Row],[Gross margin/t]] / Jobs[[#This Row],[base price/t]], 0)</f>
        <v>1.9999999999999998</v>
      </c>
    </row>
    <row r="115" spans="1:22" x14ac:dyDescent="0.25">
      <c r="A115" t="s">
        <v>230</v>
      </c>
      <c r="B115" s="18" t="s">
        <v>231</v>
      </c>
      <c r="C115" s="18">
        <v>1</v>
      </c>
      <c r="D115" t="s">
        <v>129</v>
      </c>
      <c r="E115" t="s">
        <v>5</v>
      </c>
      <c r="F115" t="s">
        <v>22</v>
      </c>
      <c r="G115" s="1">
        <v>46.51</v>
      </c>
      <c r="J115" s="37">
        <v>6.0416666666666667E-2</v>
      </c>
      <c r="K115" s="22"/>
      <c r="L115" s="2"/>
      <c r="M115" s="2">
        <f>_xlfn.LET(
    _xlpm.qty, C115,
    _xlpm.weight_g, G115 + H115 + Jobs[[#This Row],[Flushed/g]],
    _xlpm.material, TRIM(E115),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126972.29999999999</v>
      </c>
      <c r="N115" s="2">
        <f>_xlfn.LET(
    _xlpm.qty, C115,
    _xlpm.hours, J115*24,
    _xlpm.power_w, _xlfn.XLOOKUP(TRIM(D115), Settings!$F$4:$F$101, Settings!$G$4:$G$101, 120),
    _xlpm.rate, Settings!$D$4,
    _xlpm.qty * _xlpm.hours * (_xlpm.power_w / 1000) * _xlpm.rate
)</f>
        <v>141.28799999999998</v>
      </c>
      <c r="O115" s="2">
        <f>_xlfn.LET(
    _xlpm.qty, C115,
    _xlpm.hours, J115*24,
    _xlpm.price, _xlfn.XLOOKUP(TRIM(D115), Settings!$F$4:$F$101, Settings!$H$4:$H$101, 0),
    _xlpm.life, _xlfn.XLOOKUP(TRIM(D115), Settings!$F$4:$F$101, Settings!$I$4:$I$101, 1),
    _xlpm.qty * _xlpm.hours * (_xlpm.price / _xlpm.life)
)</f>
        <v>27260</v>
      </c>
      <c r="P115" s="2">
        <f>_xlfn.LET(
    _xlpm.qty, C115,
    _xlpm.hours, J115*24,
    _xlpm.price, _xlfn.XLOOKUP(TRIM(D115), Settings!$F$4:$F$101, Settings!$H$4:$H$101, 0),
    _xlpm.life, _xlfn.XLOOKUP(TRIM(D115), Settings!$F$4:$F$101, Settings!$I$4:$I$101, 1),
    _xlpm.pct, _xlfn.XLOOKUP(TRIM(D115), Settings!$F$4:$F$101, Settings!$J$4:$J$101, 0),
    _xlpm.qty * _xlpm.hours * (_xlpm.price / _xlpm.life * _xlpm.pct)
)</f>
        <v>1363</v>
      </c>
      <c r="Q115" s="2">
        <f>Jobs[[#This Row],[Post Pro/h]]*Settings!$D$18</f>
        <v>0</v>
      </c>
      <c r="R115" s="2">
        <f>(Jobs[[#This Row],[power/t]]+Jobs[[#This Row],[Matrial/t]]+Jobs[[#This Row],[downturn/t]]+Jobs[[#This Row],[Maintenance/t]]+Jobs[[#This Row],[Coloring/t]]+Jobs[[#This Row],[Extras]])*Settings!$D$12</f>
        <v>46720.976399999992</v>
      </c>
      <c r="S115" s="2">
        <f>Jobs[[#This Row],[Matrial/t]] + Jobs[[#This Row],[power/t]] + Jobs[[#This Row],[downturn/t]] + Jobs[[#This Row],[Maintenance/t]] + Jobs[[#This Row],[Coloring/t]] + Jobs[[#This Row],[overhead/t]] + Jobs[[#This Row],[Extras]]</f>
        <v>202457.56439999997</v>
      </c>
      <c r="T115" s="2">
        <f>S115*(1+Settings!$D$5)</f>
        <v>607372.69319999986</v>
      </c>
      <c r="U115" s="2">
        <f>Jobs[[#This Row],[Sugested Price/t]] - Jobs[[#This Row],[base price/t]]</f>
        <v>404915.12879999989</v>
      </c>
      <c r="V115" s="3">
        <f>IFERROR(Jobs[[#This Row],[Gross margin/t]] / Jobs[[#This Row],[base price/t]], 0)</f>
        <v>1.9999999999999998</v>
      </c>
    </row>
    <row r="116" spans="1:22" x14ac:dyDescent="0.25">
      <c r="A116" t="s">
        <v>232</v>
      </c>
      <c r="B116" s="18" t="s">
        <v>233</v>
      </c>
      <c r="C116" s="18">
        <v>1</v>
      </c>
      <c r="D116" t="s">
        <v>129</v>
      </c>
      <c r="E116" t="s">
        <v>5</v>
      </c>
      <c r="F116" t="s">
        <v>22</v>
      </c>
      <c r="G116" s="1">
        <v>69</v>
      </c>
      <c r="J116" s="37">
        <v>0.1076388888888889</v>
      </c>
      <c r="K116" s="22"/>
      <c r="L116" s="2"/>
      <c r="M116" s="2">
        <f>_xlfn.LET(
    _xlpm.qty, C116,
    _xlpm.weight_g, G116 + H116 + Jobs[[#This Row],[Flushed/g]],
    _xlpm.material, TRIM(E116),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188370.00000000003</v>
      </c>
      <c r="N116" s="2">
        <f>_xlfn.LET(
    _xlpm.qty, C116,
    _xlpm.hours, J116*24,
    _xlpm.power_w, _xlfn.XLOOKUP(TRIM(D116), Settings!$F$4:$F$101, Settings!$G$4:$G$101, 120),
    _xlpm.rate, Settings!$D$4,
    _xlpm.qty * _xlpm.hours * (_xlpm.power_w / 1000) * _xlpm.rate
)</f>
        <v>251.72</v>
      </c>
      <c r="O116" s="2">
        <f>_xlfn.LET(
    _xlpm.qty, C116,
    _xlpm.hours, J116*24,
    _xlpm.price, _xlfn.XLOOKUP(TRIM(D116), Settings!$F$4:$F$101, Settings!$H$4:$H$101, 0),
    _xlpm.life, _xlfn.XLOOKUP(TRIM(D116), Settings!$F$4:$F$101, Settings!$I$4:$I$101, 1),
    _xlpm.qty * _xlpm.hours * (_xlpm.price / _xlpm.life)
)</f>
        <v>48566.666666666672</v>
      </c>
      <c r="P116" s="2">
        <f>_xlfn.LET(
    _xlpm.qty, C116,
    _xlpm.hours, J116*24,
    _xlpm.price, _xlfn.XLOOKUP(TRIM(D116), Settings!$F$4:$F$101, Settings!$H$4:$H$101, 0),
    _xlpm.life, _xlfn.XLOOKUP(TRIM(D116), Settings!$F$4:$F$101, Settings!$I$4:$I$101, 1),
    _xlpm.pct, _xlfn.XLOOKUP(TRIM(D116), Settings!$F$4:$F$101, Settings!$J$4:$J$101, 0),
    _xlpm.qty * _xlpm.hours * (_xlpm.price / _xlpm.life * _xlpm.pct)
)</f>
        <v>2428.3333333333335</v>
      </c>
      <c r="Q116" s="2">
        <f>Jobs[[#This Row],[Post Pro/h]]*Settings!$D$18</f>
        <v>0</v>
      </c>
      <c r="R116" s="2">
        <f>(Jobs[[#This Row],[power/t]]+Jobs[[#This Row],[Matrial/t]]+Jobs[[#This Row],[downturn/t]]+Jobs[[#This Row],[Maintenance/t]]+Jobs[[#This Row],[Coloring/t]]+Jobs[[#This Row],[Extras]])*Settings!$D$12</f>
        <v>71885.016000000018</v>
      </c>
      <c r="S116" s="2">
        <f>Jobs[[#This Row],[Matrial/t]] + Jobs[[#This Row],[power/t]] + Jobs[[#This Row],[downturn/t]] + Jobs[[#This Row],[Maintenance/t]] + Jobs[[#This Row],[Coloring/t]] + Jobs[[#This Row],[overhead/t]] + Jobs[[#This Row],[Extras]]</f>
        <v>311501.73600000009</v>
      </c>
      <c r="T116" s="2">
        <f>S116*(1+Settings!$D$5)</f>
        <v>934505.20800000033</v>
      </c>
      <c r="U116" s="2">
        <f>Jobs[[#This Row],[Sugested Price/t]] - Jobs[[#This Row],[base price/t]]</f>
        <v>623003.4720000003</v>
      </c>
      <c r="V116" s="3">
        <f>IFERROR(Jobs[[#This Row],[Gross margin/t]] / Jobs[[#This Row],[base price/t]], 0)</f>
        <v>2.0000000000000004</v>
      </c>
    </row>
    <row r="117" spans="1:22" x14ac:dyDescent="0.25">
      <c r="A117" t="s">
        <v>234</v>
      </c>
      <c r="B117" s="18" t="s">
        <v>235</v>
      </c>
      <c r="C117" s="18">
        <v>1</v>
      </c>
      <c r="D117" t="s">
        <v>129</v>
      </c>
      <c r="E117" t="s">
        <v>5</v>
      </c>
      <c r="F117" t="s">
        <v>22</v>
      </c>
      <c r="G117" s="1">
        <v>31.27</v>
      </c>
      <c r="J117" s="37">
        <v>0.10208333333333333</v>
      </c>
      <c r="K117" s="22"/>
      <c r="L117" s="2"/>
      <c r="M117" s="2">
        <f>_xlfn.LET(
    _xlpm.qty, C117,
    _xlpm.weight_g, G117 + H117 + Jobs[[#This Row],[Flushed/g]],
    _xlpm.material, TRIM(E117),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85367.1</v>
      </c>
      <c r="N117" s="2">
        <f>_xlfn.LET(
    _xlpm.qty, C117,
    _xlpm.hours, J117*24,
    _xlpm.power_w, _xlfn.XLOOKUP(TRIM(D117), Settings!$F$4:$F$101, Settings!$G$4:$G$101, 120),
    _xlpm.rate, Settings!$D$4,
    _xlpm.qty * _xlpm.hours * (_xlpm.power_w / 1000) * _xlpm.rate
)</f>
        <v>238.72799999999998</v>
      </c>
      <c r="O117" s="2">
        <f>_xlfn.LET(
    _xlpm.qty, C117,
    _xlpm.hours, J117*24,
    _xlpm.price, _xlfn.XLOOKUP(TRIM(D117), Settings!$F$4:$F$101, Settings!$H$4:$H$101, 0),
    _xlpm.life, _xlfn.XLOOKUP(TRIM(D117), Settings!$F$4:$F$101, Settings!$I$4:$I$101, 1),
    _xlpm.qty * _xlpm.hours * (_xlpm.price / _xlpm.life)
)</f>
        <v>46060</v>
      </c>
      <c r="P117" s="2">
        <f>_xlfn.LET(
    _xlpm.qty, C117,
    _xlpm.hours, J117*24,
    _xlpm.price, _xlfn.XLOOKUP(TRIM(D117), Settings!$F$4:$F$101, Settings!$H$4:$H$101, 0),
    _xlpm.life, _xlfn.XLOOKUP(TRIM(D117), Settings!$F$4:$F$101, Settings!$I$4:$I$101, 1),
    _xlpm.pct, _xlfn.XLOOKUP(TRIM(D117), Settings!$F$4:$F$101, Settings!$J$4:$J$101, 0),
    _xlpm.qty * _xlpm.hours * (_xlpm.price / _xlpm.life * _xlpm.pct)
)</f>
        <v>2303</v>
      </c>
      <c r="Q117" s="2">
        <f>Jobs[[#This Row],[Post Pro/h]]*Settings!$D$18</f>
        <v>0</v>
      </c>
      <c r="R117" s="2">
        <f>(Jobs[[#This Row],[power/t]]+Jobs[[#This Row],[Matrial/t]]+Jobs[[#This Row],[downturn/t]]+Jobs[[#This Row],[Maintenance/t]]+Jobs[[#This Row],[Coloring/t]]+Jobs[[#This Row],[Extras]])*Settings!$D$12</f>
        <v>40190.648399999998</v>
      </c>
      <c r="S117" s="2">
        <f>Jobs[[#This Row],[Matrial/t]] + Jobs[[#This Row],[power/t]] + Jobs[[#This Row],[downturn/t]] + Jobs[[#This Row],[Maintenance/t]] + Jobs[[#This Row],[Coloring/t]] + Jobs[[#This Row],[overhead/t]] + Jobs[[#This Row],[Extras]]</f>
        <v>174159.47640000001</v>
      </c>
      <c r="T117" s="2">
        <f>S117*(1+Settings!$D$5)</f>
        <v>522478.42920000001</v>
      </c>
      <c r="U117" s="2">
        <f>Jobs[[#This Row],[Sugested Price/t]] - Jobs[[#This Row],[base price/t]]</f>
        <v>348318.95279999997</v>
      </c>
      <c r="V117" s="3">
        <f>IFERROR(Jobs[[#This Row],[Gross margin/t]] / Jobs[[#This Row],[base price/t]], 0)</f>
        <v>1.9999999999999996</v>
      </c>
    </row>
    <row r="118" spans="1:22" x14ac:dyDescent="0.25">
      <c r="A118" t="s">
        <v>236</v>
      </c>
      <c r="B118" s="18" t="s">
        <v>237</v>
      </c>
      <c r="C118" s="18">
        <v>1</v>
      </c>
      <c r="D118" t="s">
        <v>129</v>
      </c>
      <c r="E118" t="s">
        <v>5</v>
      </c>
      <c r="F118" t="s">
        <v>22</v>
      </c>
      <c r="G118" s="1">
        <v>1.79</v>
      </c>
      <c r="J118" s="37">
        <v>7.6388888888888886E-3</v>
      </c>
      <c r="K118" s="22"/>
      <c r="L118" s="2"/>
      <c r="M118" s="2">
        <f>_xlfn.LET(
    _xlpm.qty, C118,
    _xlpm.weight_g, G118 + H118 + Jobs[[#This Row],[Flushed/g]],
    _xlpm.material, TRIM(E118),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4886.7</v>
      </c>
      <c r="N118" s="2">
        <f>_xlfn.LET(
    _xlpm.qty, C118,
    _xlpm.hours, J118*24,
    _xlpm.power_w, _xlfn.XLOOKUP(TRIM(D118), Settings!$F$4:$F$101, Settings!$G$4:$G$101, 120),
    _xlpm.rate, Settings!$D$4,
    _xlpm.qty * _xlpm.hours * (_xlpm.power_w / 1000) * _xlpm.rate
)</f>
        <v>17.863999999999997</v>
      </c>
      <c r="O118" s="2">
        <f>_xlfn.LET(
    _xlpm.qty, C118,
    _xlpm.hours, J118*24,
    _xlpm.price, _xlfn.XLOOKUP(TRIM(D118), Settings!$F$4:$F$101, Settings!$H$4:$H$101, 0),
    _xlpm.life, _xlfn.XLOOKUP(TRIM(D118), Settings!$F$4:$F$101, Settings!$I$4:$I$101, 1),
    _xlpm.qty * _xlpm.hours * (_xlpm.price / _xlpm.life)
)</f>
        <v>3446.6666666666665</v>
      </c>
      <c r="P118" s="2">
        <f>_xlfn.LET(
    _xlpm.qty, C118,
    _xlpm.hours, J118*24,
    _xlpm.price, _xlfn.XLOOKUP(TRIM(D118), Settings!$F$4:$F$101, Settings!$H$4:$H$101, 0),
    _xlpm.life, _xlfn.XLOOKUP(TRIM(D118), Settings!$F$4:$F$101, Settings!$I$4:$I$101, 1),
    _xlpm.pct, _xlfn.XLOOKUP(TRIM(D118), Settings!$F$4:$F$101, Settings!$J$4:$J$101, 0),
    _xlpm.qty * _xlpm.hours * (_xlpm.price / _xlpm.life * _xlpm.pct)
)</f>
        <v>172.33333333333331</v>
      </c>
      <c r="Q118" s="2">
        <f>Jobs[[#This Row],[Post Pro/h]]*Settings!$D$18</f>
        <v>0</v>
      </c>
      <c r="R118" s="2">
        <f>(Jobs[[#This Row],[power/t]]+Jobs[[#This Row],[Matrial/t]]+Jobs[[#This Row],[downturn/t]]+Jobs[[#This Row],[Maintenance/t]]+Jobs[[#This Row],[Coloring/t]]+Jobs[[#This Row],[Extras]])*Settings!$D$12</f>
        <v>2557.0691999999999</v>
      </c>
      <c r="S118" s="2">
        <f>Jobs[[#This Row],[Matrial/t]] + Jobs[[#This Row],[power/t]] + Jobs[[#This Row],[downturn/t]] + Jobs[[#This Row],[Maintenance/t]] + Jobs[[#This Row],[Coloring/t]] + Jobs[[#This Row],[overhead/t]] + Jobs[[#This Row],[Extras]]</f>
        <v>11080.6332</v>
      </c>
      <c r="T118" s="2">
        <f>S118*(1+Settings!$D$5)</f>
        <v>33241.899600000004</v>
      </c>
      <c r="U118" s="2">
        <f>Jobs[[#This Row],[Sugested Price/t]] - Jobs[[#This Row],[base price/t]]</f>
        <v>22161.266400000004</v>
      </c>
      <c r="V118" s="3">
        <f>IFERROR(Jobs[[#This Row],[Gross margin/t]] / Jobs[[#This Row],[base price/t]], 0)</f>
        <v>2.0000000000000004</v>
      </c>
    </row>
    <row r="119" spans="1:22" x14ac:dyDescent="0.25">
      <c r="B119" s="18" t="s">
        <v>238</v>
      </c>
      <c r="C119" s="18">
        <v>1</v>
      </c>
      <c r="D119" t="s">
        <v>129</v>
      </c>
      <c r="E119" t="s">
        <v>5</v>
      </c>
      <c r="F119" t="s">
        <v>32</v>
      </c>
      <c r="G119" s="1">
        <v>219</v>
      </c>
      <c r="J119" s="37">
        <v>0.4375</v>
      </c>
      <c r="K119" s="22"/>
      <c r="L119" s="2"/>
      <c r="M119" s="2">
        <f>_xlfn.LET(
    _xlpm.qty, C119,
    _xlpm.weight_g, G119 + H119 + Jobs[[#This Row],[Flushed/g]],
    _xlpm.material, TRIM(E119),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597870</v>
      </c>
      <c r="N119" s="2">
        <f>_xlfn.LET(
    _xlpm.qty, C119,
    _xlpm.hours, J119*24,
    _xlpm.power_w, _xlfn.XLOOKUP(TRIM(D119), Settings!$F$4:$F$101, Settings!$G$4:$G$101, 120),
    _xlpm.rate, Settings!$D$4,
    _xlpm.qty * _xlpm.hours * (_xlpm.power_w / 1000) * _xlpm.rate
)</f>
        <v>1023.12</v>
      </c>
      <c r="O119" s="2">
        <f>_xlfn.LET(
    _xlpm.qty, C119,
    _xlpm.hours, J119*24,
    _xlpm.price, _xlfn.XLOOKUP(TRIM(D119), Settings!$F$4:$F$101, Settings!$H$4:$H$101, 0),
    _xlpm.life, _xlfn.XLOOKUP(TRIM(D119), Settings!$F$4:$F$101, Settings!$I$4:$I$101, 1),
    _xlpm.qty * _xlpm.hours * (_xlpm.price / _xlpm.life)
)</f>
        <v>197400</v>
      </c>
      <c r="P119" s="2">
        <f>_xlfn.LET(
    _xlpm.qty, C119,
    _xlpm.hours, J119*24,
    _xlpm.price, _xlfn.XLOOKUP(TRIM(D119), Settings!$F$4:$F$101, Settings!$H$4:$H$101, 0),
    _xlpm.life, _xlfn.XLOOKUP(TRIM(D119), Settings!$F$4:$F$101, Settings!$I$4:$I$101, 1),
    _xlpm.pct, _xlfn.XLOOKUP(TRIM(D119), Settings!$F$4:$F$101, Settings!$J$4:$J$101, 0),
    _xlpm.qty * _xlpm.hours * (_xlpm.price / _xlpm.life * _xlpm.pct)
)</f>
        <v>9870</v>
      </c>
      <c r="Q119" s="2">
        <f>Jobs[[#This Row],[Post Pro/h]]*Settings!$D$18</f>
        <v>0</v>
      </c>
      <c r="R119" s="2">
        <f>(Jobs[[#This Row],[power/t]]+Jobs[[#This Row],[Matrial/t]]+Jobs[[#This Row],[downturn/t]]+Jobs[[#This Row],[Maintenance/t]]+Jobs[[#This Row],[Coloring/t]]+Jobs[[#This Row],[Extras]])*Settings!$D$12</f>
        <v>241848.93599999999</v>
      </c>
      <c r="S119" s="2">
        <f>Jobs[[#This Row],[Matrial/t]] + Jobs[[#This Row],[power/t]] + Jobs[[#This Row],[downturn/t]] + Jobs[[#This Row],[Maintenance/t]] + Jobs[[#This Row],[Coloring/t]] + Jobs[[#This Row],[overhead/t]] + Jobs[[#This Row],[Extras]]</f>
        <v>1048012.056</v>
      </c>
      <c r="T119" s="2">
        <f>S119*(1+Settings!$D$5)</f>
        <v>3144036.1680000001</v>
      </c>
      <c r="U119" s="2">
        <f>Jobs[[#This Row],[Sugested Price/t]] - Jobs[[#This Row],[base price/t]]</f>
        <v>2096024.1120000002</v>
      </c>
      <c r="V119" s="3">
        <f>IFERROR(Jobs[[#This Row],[Gross margin/t]] / Jobs[[#This Row],[base price/t]], 0)</f>
        <v>2.0000000000000004</v>
      </c>
    </row>
    <row r="120" spans="1:22" x14ac:dyDescent="0.25">
      <c r="B120" s="18" t="s">
        <v>239</v>
      </c>
      <c r="C120" s="18">
        <v>2</v>
      </c>
      <c r="D120" t="s">
        <v>129</v>
      </c>
      <c r="E120" t="s">
        <v>5</v>
      </c>
      <c r="F120" t="s">
        <v>32</v>
      </c>
      <c r="G120" s="1">
        <v>210</v>
      </c>
      <c r="J120" s="37">
        <v>0.83333333333333337</v>
      </c>
      <c r="K120" s="22"/>
      <c r="L120" s="2"/>
      <c r="M120" s="2">
        <f>_xlfn.LET(
    _xlpm.qty, C120,
    _xlpm.weight_g, G120 + H120 + Jobs[[#This Row],[Flushed/g]],
    _xlpm.material, TRIM(E120),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1146600</v>
      </c>
      <c r="N120" s="2">
        <f>_xlfn.LET(
    _xlpm.qty, C120,
    _xlpm.hours, J120*24,
    _xlpm.power_w, _xlfn.XLOOKUP(TRIM(D120), Settings!$F$4:$F$101, Settings!$G$4:$G$101, 120),
    _xlpm.rate, Settings!$D$4,
    _xlpm.qty * _xlpm.hours * (_xlpm.power_w / 1000) * _xlpm.rate
)</f>
        <v>3897.6</v>
      </c>
      <c r="O120" s="2">
        <f>_xlfn.LET(
    _xlpm.qty, C120,
    _xlpm.hours, J120*24,
    _xlpm.price, _xlfn.XLOOKUP(TRIM(D120), Settings!$F$4:$F$101, Settings!$H$4:$H$101, 0),
    _xlpm.life, _xlfn.XLOOKUP(TRIM(D120), Settings!$F$4:$F$101, Settings!$I$4:$I$101, 1),
    _xlpm.qty * _xlpm.hours * (_xlpm.price / _xlpm.life)
)</f>
        <v>752000</v>
      </c>
      <c r="P120" s="2">
        <f>_xlfn.LET(
    _xlpm.qty, C120,
    _xlpm.hours, J120*24,
    _xlpm.price, _xlfn.XLOOKUP(TRIM(D120), Settings!$F$4:$F$101, Settings!$H$4:$H$101, 0),
    _xlpm.life, _xlfn.XLOOKUP(TRIM(D120), Settings!$F$4:$F$101, Settings!$I$4:$I$101, 1),
    _xlpm.pct, _xlfn.XLOOKUP(TRIM(D120), Settings!$F$4:$F$101, Settings!$J$4:$J$101, 0),
    _xlpm.qty * _xlpm.hours * (_xlpm.price / _xlpm.life * _xlpm.pct)
)</f>
        <v>37600</v>
      </c>
      <c r="Q120" s="2">
        <f>Jobs[[#This Row],[Post Pro/h]]*Settings!$D$18</f>
        <v>0</v>
      </c>
      <c r="R120" s="2">
        <f>(Jobs[[#This Row],[power/t]]+Jobs[[#This Row],[Matrial/t]]+Jobs[[#This Row],[downturn/t]]+Jobs[[#This Row],[Maintenance/t]]+Jobs[[#This Row],[Coloring/t]]+Jobs[[#This Row],[Extras]])*Settings!$D$12</f>
        <v>582029.28</v>
      </c>
      <c r="S120" s="2">
        <f>Jobs[[#This Row],[Matrial/t]] + Jobs[[#This Row],[power/t]] + Jobs[[#This Row],[downturn/t]] + Jobs[[#This Row],[Maintenance/t]] + Jobs[[#This Row],[Coloring/t]] + Jobs[[#This Row],[overhead/t]] + Jobs[[#This Row],[Extras]]</f>
        <v>2522126.88</v>
      </c>
      <c r="T120" s="2">
        <f>S120*(1+Settings!$D$5)</f>
        <v>7566380.6399999997</v>
      </c>
      <c r="U120" s="2">
        <f>Jobs[[#This Row],[Sugested Price/t]] - Jobs[[#This Row],[base price/t]]</f>
        <v>5044253.76</v>
      </c>
      <c r="V120" s="3">
        <f>IFERROR(Jobs[[#This Row],[Gross margin/t]] / Jobs[[#This Row],[base price/t]], 0)</f>
        <v>2</v>
      </c>
    </row>
    <row r="121" spans="1:22" x14ac:dyDescent="0.25">
      <c r="B121" s="18" t="s">
        <v>240</v>
      </c>
      <c r="C121" s="18">
        <v>2</v>
      </c>
      <c r="D121" t="s">
        <v>129</v>
      </c>
      <c r="E121" t="s">
        <v>5</v>
      </c>
      <c r="F121" t="s">
        <v>32</v>
      </c>
      <c r="G121" s="1">
        <v>200</v>
      </c>
      <c r="J121" s="37">
        <v>0.79166666666666663</v>
      </c>
      <c r="K121" s="22"/>
      <c r="L121" s="2"/>
      <c r="M121" s="2">
        <f>_xlfn.LET(
    _xlpm.qty, C121,
    _xlpm.weight_g, G121 + H121 + Jobs[[#This Row],[Flushed/g]],
    _xlpm.material, TRIM(E121),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1092000</v>
      </c>
      <c r="N121" s="2">
        <f>_xlfn.LET(
    _xlpm.qty, C121,
    _xlpm.hours, J121*24,
    _xlpm.power_w, _xlfn.XLOOKUP(TRIM(D121), Settings!$F$4:$F$101, Settings!$G$4:$G$101, 120),
    _xlpm.rate, Settings!$D$4,
    _xlpm.qty * _xlpm.hours * (_xlpm.power_w / 1000) * _xlpm.rate
)</f>
        <v>3702.72</v>
      </c>
      <c r="O121" s="2">
        <f>_xlfn.LET(
    _xlpm.qty, C121,
    _xlpm.hours, J121*24,
    _xlpm.price, _xlfn.XLOOKUP(TRIM(D121), Settings!$F$4:$F$101, Settings!$H$4:$H$101, 0),
    _xlpm.life, _xlfn.XLOOKUP(TRIM(D121), Settings!$F$4:$F$101, Settings!$I$4:$I$101, 1),
    _xlpm.qty * _xlpm.hours * (_xlpm.price / _xlpm.life)
)</f>
        <v>714400</v>
      </c>
      <c r="P121" s="2">
        <f>_xlfn.LET(
    _xlpm.qty, C121,
    _xlpm.hours, J121*24,
    _xlpm.price, _xlfn.XLOOKUP(TRIM(D121), Settings!$F$4:$F$101, Settings!$H$4:$H$101, 0),
    _xlpm.life, _xlfn.XLOOKUP(TRIM(D121), Settings!$F$4:$F$101, Settings!$I$4:$I$101, 1),
    _xlpm.pct, _xlfn.XLOOKUP(TRIM(D121), Settings!$F$4:$F$101, Settings!$J$4:$J$101, 0),
    _xlpm.qty * _xlpm.hours * (_xlpm.price / _xlpm.life * _xlpm.pct)
)</f>
        <v>35720</v>
      </c>
      <c r="Q121" s="2">
        <f>Jobs[[#This Row],[Post Pro/h]]*Settings!$D$18</f>
        <v>0</v>
      </c>
      <c r="R121" s="2">
        <f>(Jobs[[#This Row],[power/t]]+Jobs[[#This Row],[Matrial/t]]+Jobs[[#This Row],[downturn/t]]+Jobs[[#This Row],[Maintenance/t]]+Jobs[[#This Row],[Coloring/t]]+Jobs[[#This Row],[Extras]])*Settings!$D$12</f>
        <v>553746.81599999999</v>
      </c>
      <c r="S121" s="2">
        <f>Jobs[[#This Row],[Matrial/t]] + Jobs[[#This Row],[power/t]] + Jobs[[#This Row],[downturn/t]] + Jobs[[#This Row],[Maintenance/t]] + Jobs[[#This Row],[Coloring/t]] + Jobs[[#This Row],[overhead/t]] + Jobs[[#This Row],[Extras]]</f>
        <v>2399569.5359999998</v>
      </c>
      <c r="T121" s="2">
        <f>S121*(1+Settings!$D$5)</f>
        <v>7198708.6079999991</v>
      </c>
      <c r="U121" s="2">
        <f>Jobs[[#This Row],[Sugested Price/t]] - Jobs[[#This Row],[base price/t]]</f>
        <v>4799139.0719999988</v>
      </c>
      <c r="V121" s="3">
        <f>IFERROR(Jobs[[#This Row],[Gross margin/t]] / Jobs[[#This Row],[base price/t]], 0)</f>
        <v>1.9999999999999996</v>
      </c>
    </row>
    <row r="122" spans="1:22" x14ac:dyDescent="0.25">
      <c r="B122" s="18" t="s">
        <v>241</v>
      </c>
      <c r="C122" s="18">
        <v>1</v>
      </c>
      <c r="D122" t="s">
        <v>129</v>
      </c>
      <c r="E122" t="s">
        <v>5</v>
      </c>
      <c r="F122" t="s">
        <v>22</v>
      </c>
      <c r="G122" s="1">
        <v>110</v>
      </c>
      <c r="J122" s="37">
        <v>0.45833333333333331</v>
      </c>
      <c r="K122" s="22"/>
      <c r="L122" s="2"/>
      <c r="M122" s="2">
        <f>_xlfn.LET(
    _xlpm.qty, C122,
    _xlpm.weight_g, G122 + H122 + Jobs[[#This Row],[Flushed/g]],
    _xlpm.material, TRIM(E122),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300300</v>
      </c>
      <c r="N122" s="2">
        <f>_xlfn.LET(
    _xlpm.qty, C122,
    _xlpm.hours, J122*24,
    _xlpm.power_w, _xlfn.XLOOKUP(TRIM(D122), Settings!$F$4:$F$101, Settings!$G$4:$G$101, 120),
    _xlpm.rate, Settings!$D$4,
    _xlpm.qty * _xlpm.hours * (_xlpm.power_w / 1000) * _xlpm.rate
)</f>
        <v>1071.8399999999999</v>
      </c>
      <c r="O122" s="2">
        <f>_xlfn.LET(
    _xlpm.qty, C122,
    _xlpm.hours, J122*24,
    _xlpm.price, _xlfn.XLOOKUP(TRIM(D122), Settings!$F$4:$F$101, Settings!$H$4:$H$101, 0),
    _xlpm.life, _xlfn.XLOOKUP(TRIM(D122), Settings!$F$4:$F$101, Settings!$I$4:$I$101, 1),
    _xlpm.qty * _xlpm.hours * (_xlpm.price / _xlpm.life)
)</f>
        <v>206800</v>
      </c>
      <c r="P122" s="2">
        <f>_xlfn.LET(
    _xlpm.qty, C122,
    _xlpm.hours, J122*24,
    _xlpm.price, _xlfn.XLOOKUP(TRIM(D122), Settings!$F$4:$F$101, Settings!$H$4:$H$101, 0),
    _xlpm.life, _xlfn.XLOOKUP(TRIM(D122), Settings!$F$4:$F$101, Settings!$I$4:$I$101, 1),
    _xlpm.pct, _xlfn.XLOOKUP(TRIM(D122), Settings!$F$4:$F$101, Settings!$J$4:$J$101, 0),
    _xlpm.qty * _xlpm.hours * (_xlpm.price / _xlpm.life * _xlpm.pct)
)</f>
        <v>10340</v>
      </c>
      <c r="Q122" s="2">
        <f>Jobs[[#This Row],[Post Pro/h]]*Settings!$D$18</f>
        <v>0</v>
      </c>
      <c r="R122" s="2">
        <f>(Jobs[[#This Row],[power/t]]+Jobs[[#This Row],[Matrial/t]]+Jobs[[#This Row],[downturn/t]]+Jobs[[#This Row],[Maintenance/t]]+Jobs[[#This Row],[Coloring/t]]+Jobs[[#This Row],[Extras]])*Settings!$D$12</f>
        <v>155553.552</v>
      </c>
      <c r="S122" s="2">
        <f>Jobs[[#This Row],[Matrial/t]] + Jobs[[#This Row],[power/t]] + Jobs[[#This Row],[downturn/t]] + Jobs[[#This Row],[Maintenance/t]] + Jobs[[#This Row],[Coloring/t]] + Jobs[[#This Row],[overhead/t]] + Jobs[[#This Row],[Extras]]</f>
        <v>674065.39199999999</v>
      </c>
      <c r="T122" s="2">
        <f>S122*(1+Settings!$D$5)</f>
        <v>2022196.176</v>
      </c>
      <c r="U122" s="2">
        <f>Jobs[[#This Row],[Sugested Price/t]] - Jobs[[#This Row],[base price/t]]</f>
        <v>1348130.784</v>
      </c>
      <c r="V122" s="3">
        <f>IFERROR(Jobs[[#This Row],[Gross margin/t]] / Jobs[[#This Row],[base price/t]], 0)</f>
        <v>2</v>
      </c>
    </row>
    <row r="123" spans="1:22" x14ac:dyDescent="0.25">
      <c r="B123" s="18" t="s">
        <v>242</v>
      </c>
      <c r="C123" s="18">
        <v>1</v>
      </c>
      <c r="D123" t="s">
        <v>129</v>
      </c>
      <c r="E123" t="s">
        <v>5</v>
      </c>
      <c r="F123" t="s">
        <v>22</v>
      </c>
      <c r="G123" s="1">
        <v>160</v>
      </c>
      <c r="J123" s="37">
        <v>0.30555555555555558</v>
      </c>
      <c r="K123" s="22"/>
      <c r="L123" s="2"/>
      <c r="M123" s="2">
        <f>_xlfn.LET(
    _xlpm.qty, C123,
    _xlpm.weight_g, G123 + H123 + Jobs[[#This Row],[Flushed/g]],
    _xlpm.material, TRIM(E123),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436800</v>
      </c>
      <c r="N123" s="2">
        <f>_xlfn.LET(
    _xlpm.qty, C123,
    _xlpm.hours, J123*24,
    _xlpm.power_w, _xlfn.XLOOKUP(TRIM(D123), Settings!$F$4:$F$101, Settings!$G$4:$G$101, 120),
    _xlpm.rate, Settings!$D$4,
    _xlpm.qty * _xlpm.hours * (_xlpm.power_w / 1000) * _xlpm.rate
)</f>
        <v>714.56000000000006</v>
      </c>
      <c r="O123" s="2">
        <f>_xlfn.LET(
    _xlpm.qty, C123,
    _xlpm.hours, J123*24,
    _xlpm.price, _xlfn.XLOOKUP(TRIM(D123), Settings!$F$4:$F$101, Settings!$H$4:$H$101, 0),
    _xlpm.life, _xlfn.XLOOKUP(TRIM(D123), Settings!$F$4:$F$101, Settings!$I$4:$I$101, 1),
    _xlpm.qty * _xlpm.hours * (_xlpm.price / _xlpm.life)
)</f>
        <v>137866.66666666669</v>
      </c>
      <c r="P123" s="2">
        <f>_xlfn.LET(
    _xlpm.qty, C123,
    _xlpm.hours, J123*24,
    _xlpm.price, _xlfn.XLOOKUP(TRIM(D123), Settings!$F$4:$F$101, Settings!$H$4:$H$101, 0),
    _xlpm.life, _xlfn.XLOOKUP(TRIM(D123), Settings!$F$4:$F$101, Settings!$I$4:$I$101, 1),
    _xlpm.pct, _xlfn.XLOOKUP(TRIM(D123), Settings!$F$4:$F$101, Settings!$J$4:$J$101, 0),
    _xlpm.qty * _xlpm.hours * (_xlpm.price / _xlpm.life * _xlpm.pct)
)</f>
        <v>6893.3333333333339</v>
      </c>
      <c r="Q123" s="2">
        <f>Jobs[[#This Row],[Post Pro/h]]*Settings!$D$18</f>
        <v>0</v>
      </c>
      <c r="R123" s="2">
        <f>(Jobs[[#This Row],[power/t]]+Jobs[[#This Row],[Matrial/t]]+Jobs[[#This Row],[downturn/t]]+Jobs[[#This Row],[Maintenance/t]]+Jobs[[#This Row],[Coloring/t]]+Jobs[[#This Row],[Extras]])*Settings!$D$12</f>
        <v>174682.36800000002</v>
      </c>
      <c r="S123" s="2">
        <f>Jobs[[#This Row],[Matrial/t]] + Jobs[[#This Row],[power/t]] + Jobs[[#This Row],[downturn/t]] + Jobs[[#This Row],[Maintenance/t]] + Jobs[[#This Row],[Coloring/t]] + Jobs[[#This Row],[overhead/t]] + Jobs[[#This Row],[Extras]]</f>
        <v>756956.92800000007</v>
      </c>
      <c r="T123" s="2">
        <f>S123*(1+Settings!$D$5)</f>
        <v>2270870.784</v>
      </c>
      <c r="U123" s="2">
        <f>Jobs[[#This Row],[Sugested Price/t]] - Jobs[[#This Row],[base price/t]]</f>
        <v>1513913.8559999999</v>
      </c>
      <c r="V123" s="3">
        <f>IFERROR(Jobs[[#This Row],[Gross margin/t]] / Jobs[[#This Row],[base price/t]], 0)</f>
        <v>1.9999999999999998</v>
      </c>
    </row>
    <row r="124" spans="1:22" x14ac:dyDescent="0.25">
      <c r="B124" s="18" t="s">
        <v>243</v>
      </c>
      <c r="C124" s="18">
        <v>1</v>
      </c>
      <c r="D124" t="s">
        <v>129</v>
      </c>
      <c r="E124" t="s">
        <v>5</v>
      </c>
      <c r="F124" t="s">
        <v>22</v>
      </c>
      <c r="G124" s="1">
        <v>280</v>
      </c>
      <c r="J124" s="37">
        <v>0.41666666666666669</v>
      </c>
      <c r="K124" s="22"/>
      <c r="L124" s="2"/>
      <c r="M124" s="2">
        <f>_xlfn.LET(
    _xlpm.qty, C124,
    _xlpm.weight_g, G124 + H124 + Jobs[[#This Row],[Flushed/g]],
    _xlpm.material, TRIM(E124),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764400.00000000012</v>
      </c>
      <c r="N124" s="2">
        <f>_xlfn.LET(
    _xlpm.qty, C124,
    _xlpm.hours, J124*24,
    _xlpm.power_w, _xlfn.XLOOKUP(TRIM(D124), Settings!$F$4:$F$101, Settings!$G$4:$G$101, 120),
    _xlpm.rate, Settings!$D$4,
    _xlpm.qty * _xlpm.hours * (_xlpm.power_w / 1000) * _xlpm.rate
)</f>
        <v>974.4</v>
      </c>
      <c r="O124" s="2">
        <f>_xlfn.LET(
    _xlpm.qty, C124,
    _xlpm.hours, J124*24,
    _xlpm.price, _xlfn.XLOOKUP(TRIM(D124), Settings!$F$4:$F$101, Settings!$H$4:$H$101, 0),
    _xlpm.life, _xlfn.XLOOKUP(TRIM(D124), Settings!$F$4:$F$101, Settings!$I$4:$I$101, 1),
    _xlpm.qty * _xlpm.hours * (_xlpm.price / _xlpm.life)
)</f>
        <v>188000</v>
      </c>
      <c r="P124" s="2">
        <f>_xlfn.LET(
    _xlpm.qty, C124,
    _xlpm.hours, J124*24,
    _xlpm.price, _xlfn.XLOOKUP(TRIM(D124), Settings!$F$4:$F$101, Settings!$H$4:$H$101, 0),
    _xlpm.life, _xlfn.XLOOKUP(TRIM(D124), Settings!$F$4:$F$101, Settings!$I$4:$I$101, 1),
    _xlpm.pct, _xlfn.XLOOKUP(TRIM(D124), Settings!$F$4:$F$101, Settings!$J$4:$J$101, 0),
    _xlpm.qty * _xlpm.hours * (_xlpm.price / _xlpm.life * _xlpm.pct)
)</f>
        <v>9400</v>
      </c>
      <c r="Q124" s="2">
        <f>Jobs[[#This Row],[Post Pro/h]]*Settings!$D$18</f>
        <v>0</v>
      </c>
      <c r="R124" s="2">
        <f>(Jobs[[#This Row],[power/t]]+Jobs[[#This Row],[Matrial/t]]+Jobs[[#This Row],[downturn/t]]+Jobs[[#This Row],[Maintenance/t]]+Jobs[[#This Row],[Coloring/t]]+Jobs[[#This Row],[Extras]])*Settings!$D$12</f>
        <v>288832.32</v>
      </c>
      <c r="S124" s="2">
        <f>Jobs[[#This Row],[Matrial/t]] + Jobs[[#This Row],[power/t]] + Jobs[[#This Row],[downturn/t]] + Jobs[[#This Row],[Maintenance/t]] + Jobs[[#This Row],[Coloring/t]] + Jobs[[#This Row],[overhead/t]] + Jobs[[#This Row],[Extras]]</f>
        <v>1251606.7200000002</v>
      </c>
      <c r="T124" s="2">
        <f>S124*(1+Settings!$D$5)</f>
        <v>3754820.1600000006</v>
      </c>
      <c r="U124" s="2">
        <f>Jobs[[#This Row],[Sugested Price/t]] - Jobs[[#This Row],[base price/t]]</f>
        <v>2503213.4400000004</v>
      </c>
      <c r="V124" s="3">
        <f>IFERROR(Jobs[[#This Row],[Gross margin/t]] / Jobs[[#This Row],[base price/t]], 0)</f>
        <v>2</v>
      </c>
    </row>
    <row r="125" spans="1:22" x14ac:dyDescent="0.25">
      <c r="B125" s="18" t="s">
        <v>244</v>
      </c>
      <c r="C125" s="18">
        <v>1</v>
      </c>
      <c r="D125" t="s">
        <v>129</v>
      </c>
      <c r="E125" t="s">
        <v>5</v>
      </c>
      <c r="F125" t="s">
        <v>22</v>
      </c>
      <c r="G125" s="1">
        <v>330</v>
      </c>
      <c r="J125" s="37">
        <v>0.625</v>
      </c>
      <c r="K125" s="22"/>
      <c r="L125" s="2"/>
      <c r="M125" s="2">
        <f>_xlfn.LET(
    _xlpm.qty, C125,
    _xlpm.weight_g, G125 + H125 + Jobs[[#This Row],[Flushed/g]],
    _xlpm.material, TRIM(E125),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900900</v>
      </c>
      <c r="N125" s="2">
        <f>_xlfn.LET(
    _xlpm.qty, C125,
    _xlpm.hours, J125*24,
    _xlpm.power_w, _xlfn.XLOOKUP(TRIM(D125), Settings!$F$4:$F$101, Settings!$G$4:$G$101, 120),
    _xlpm.rate, Settings!$D$4,
    _xlpm.qty * _xlpm.hours * (_xlpm.power_w / 1000) * _xlpm.rate
)</f>
        <v>1461.6</v>
      </c>
      <c r="O125" s="2">
        <f>_xlfn.LET(
    _xlpm.qty, C125,
    _xlpm.hours, J125*24,
    _xlpm.price, _xlfn.XLOOKUP(TRIM(D125), Settings!$F$4:$F$101, Settings!$H$4:$H$101, 0),
    _xlpm.life, _xlfn.XLOOKUP(TRIM(D125), Settings!$F$4:$F$101, Settings!$I$4:$I$101, 1),
    _xlpm.qty * _xlpm.hours * (_xlpm.price / _xlpm.life)
)</f>
        <v>282000</v>
      </c>
      <c r="P125" s="2">
        <f>_xlfn.LET(
    _xlpm.qty, C125,
    _xlpm.hours, J125*24,
    _xlpm.price, _xlfn.XLOOKUP(TRIM(D125), Settings!$F$4:$F$101, Settings!$H$4:$H$101, 0),
    _xlpm.life, _xlfn.XLOOKUP(TRIM(D125), Settings!$F$4:$F$101, Settings!$I$4:$I$101, 1),
    _xlpm.pct, _xlfn.XLOOKUP(TRIM(D125), Settings!$F$4:$F$101, Settings!$J$4:$J$101, 0),
    _xlpm.qty * _xlpm.hours * (_xlpm.price / _xlpm.life * _xlpm.pct)
)</f>
        <v>14100</v>
      </c>
      <c r="Q125" s="2">
        <f>Jobs[[#This Row],[Post Pro/h]]*Settings!$D$18</f>
        <v>0</v>
      </c>
      <c r="R125" s="2">
        <f>(Jobs[[#This Row],[power/t]]+Jobs[[#This Row],[Matrial/t]]+Jobs[[#This Row],[downturn/t]]+Jobs[[#This Row],[Maintenance/t]]+Jobs[[#This Row],[Coloring/t]]+Jobs[[#This Row],[Extras]])*Settings!$D$12</f>
        <v>359538.48000000004</v>
      </c>
      <c r="S125" s="2">
        <f>Jobs[[#This Row],[Matrial/t]] + Jobs[[#This Row],[power/t]] + Jobs[[#This Row],[downturn/t]] + Jobs[[#This Row],[Maintenance/t]] + Jobs[[#This Row],[Coloring/t]] + Jobs[[#This Row],[overhead/t]] + Jobs[[#This Row],[Extras]]</f>
        <v>1558000.08</v>
      </c>
      <c r="T125" s="2">
        <f>S125*(1+Settings!$D$5)</f>
        <v>4674000.24</v>
      </c>
      <c r="U125" s="2">
        <f>Jobs[[#This Row],[Sugested Price/t]] - Jobs[[#This Row],[base price/t]]</f>
        <v>3116000.16</v>
      </c>
      <c r="V125" s="3">
        <f>IFERROR(Jobs[[#This Row],[Gross margin/t]] / Jobs[[#This Row],[base price/t]], 0)</f>
        <v>2</v>
      </c>
    </row>
    <row r="126" spans="1:22" x14ac:dyDescent="0.25">
      <c r="B126" s="18" t="s">
        <v>245</v>
      </c>
      <c r="C126" s="18">
        <v>1</v>
      </c>
      <c r="D126" t="s">
        <v>129</v>
      </c>
      <c r="E126" t="s">
        <v>5</v>
      </c>
      <c r="F126" t="s">
        <v>22</v>
      </c>
      <c r="G126" s="1">
        <v>50</v>
      </c>
      <c r="J126" s="37">
        <v>0.13194444444444445</v>
      </c>
      <c r="K126" s="22"/>
      <c r="L126" s="2"/>
      <c r="M126" s="2">
        <f>_xlfn.LET(
    _xlpm.qty, C126,
    _xlpm.weight_g, G126 + H126 + Jobs[[#This Row],[Flushed/g]],
    _xlpm.material, TRIM(E126),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136500</v>
      </c>
      <c r="N126" s="2">
        <f>_xlfn.LET(
    _xlpm.qty, C126,
    _xlpm.hours, J126*24,
    _xlpm.power_w, _xlfn.XLOOKUP(TRIM(D126), Settings!$F$4:$F$101, Settings!$G$4:$G$101, 120),
    _xlpm.rate, Settings!$D$4,
    _xlpm.qty * _xlpm.hours * (_xlpm.power_w / 1000) * _xlpm.rate
)</f>
        <v>308.56</v>
      </c>
      <c r="O126" s="2">
        <f>_xlfn.LET(
    _xlpm.qty, C126,
    _xlpm.hours, J126*24,
    _xlpm.price, _xlfn.XLOOKUP(TRIM(D126), Settings!$F$4:$F$101, Settings!$H$4:$H$101, 0),
    _xlpm.life, _xlfn.XLOOKUP(TRIM(D126), Settings!$F$4:$F$101, Settings!$I$4:$I$101, 1),
    _xlpm.qty * _xlpm.hours * (_xlpm.price / _xlpm.life)
)</f>
        <v>59533.333333333336</v>
      </c>
      <c r="P126" s="2">
        <f>_xlfn.LET(
    _xlpm.qty, C126,
    _xlpm.hours, J126*24,
    _xlpm.price, _xlfn.XLOOKUP(TRIM(D126), Settings!$F$4:$F$101, Settings!$H$4:$H$101, 0),
    _xlpm.life, _xlfn.XLOOKUP(TRIM(D126), Settings!$F$4:$F$101, Settings!$I$4:$I$101, 1),
    _xlpm.pct, _xlfn.XLOOKUP(TRIM(D126), Settings!$F$4:$F$101, Settings!$J$4:$J$101, 0),
    _xlpm.qty * _xlpm.hours * (_xlpm.price / _xlpm.life * _xlpm.pct)
)</f>
        <v>2976.666666666667</v>
      </c>
      <c r="Q126" s="2">
        <f>Jobs[[#This Row],[Post Pro/h]]*Settings!$D$18</f>
        <v>0</v>
      </c>
      <c r="R126" s="2">
        <f>(Jobs[[#This Row],[power/t]]+Jobs[[#This Row],[Matrial/t]]+Jobs[[#This Row],[downturn/t]]+Jobs[[#This Row],[Maintenance/t]]+Jobs[[#This Row],[Coloring/t]]+Jobs[[#This Row],[Extras]])*Settings!$D$12</f>
        <v>59795.567999999999</v>
      </c>
      <c r="S126" s="2">
        <f>Jobs[[#This Row],[Matrial/t]] + Jobs[[#This Row],[power/t]] + Jobs[[#This Row],[downturn/t]] + Jobs[[#This Row],[Maintenance/t]] + Jobs[[#This Row],[Coloring/t]] + Jobs[[#This Row],[overhead/t]] + Jobs[[#This Row],[Extras]]</f>
        <v>259114.128</v>
      </c>
      <c r="T126" s="2">
        <f>S126*(1+Settings!$D$5)</f>
        <v>777342.38399999996</v>
      </c>
      <c r="U126" s="2">
        <f>Jobs[[#This Row],[Sugested Price/t]] - Jobs[[#This Row],[base price/t]]</f>
        <v>518228.25599999994</v>
      </c>
      <c r="V126" s="3">
        <f>IFERROR(Jobs[[#This Row],[Gross margin/t]] / Jobs[[#This Row],[base price/t]], 0)</f>
        <v>1.9999999999999998</v>
      </c>
    </row>
    <row r="127" spans="1:22" x14ac:dyDescent="0.25">
      <c r="B127" s="18" t="s">
        <v>246</v>
      </c>
      <c r="C127" s="18">
        <v>1</v>
      </c>
      <c r="D127" t="s">
        <v>129</v>
      </c>
      <c r="E127" t="s">
        <v>5</v>
      </c>
      <c r="F127" t="s">
        <v>22</v>
      </c>
      <c r="G127" s="1">
        <v>170</v>
      </c>
      <c r="J127" s="37">
        <v>0.2986111111111111</v>
      </c>
      <c r="K127" s="22"/>
      <c r="L127" s="2"/>
      <c r="M127" s="2">
        <f>_xlfn.LET(
    _xlpm.qty, C127,
    _xlpm.weight_g, G127 + H127 + Jobs[[#This Row],[Flushed/g]],
    _xlpm.material, TRIM(E127),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464100.00000000006</v>
      </c>
      <c r="N127" s="2">
        <f>_xlfn.LET(
    _xlpm.qty, C127,
    _xlpm.hours, J127*24,
    _xlpm.power_w, _xlfn.XLOOKUP(TRIM(D127), Settings!$F$4:$F$101, Settings!$G$4:$G$101, 120),
    _xlpm.rate, Settings!$D$4,
    _xlpm.qty * _xlpm.hours * (_xlpm.power_w / 1000) * _xlpm.rate
)</f>
        <v>698.31999999999994</v>
      </c>
      <c r="O127" s="2">
        <f>_xlfn.LET(
    _xlpm.qty, C127,
    _xlpm.hours, J127*24,
    _xlpm.price, _xlfn.XLOOKUP(TRIM(D127), Settings!$F$4:$F$101, Settings!$H$4:$H$101, 0),
    _xlpm.life, _xlfn.XLOOKUP(TRIM(D127), Settings!$F$4:$F$101, Settings!$I$4:$I$101, 1),
    _xlpm.qty * _xlpm.hours * (_xlpm.price / _xlpm.life)
)</f>
        <v>134733.33333333331</v>
      </c>
      <c r="P127" s="2">
        <f>_xlfn.LET(
    _xlpm.qty, C127,
    _xlpm.hours, J127*24,
    _xlpm.price, _xlfn.XLOOKUP(TRIM(D127), Settings!$F$4:$F$101, Settings!$H$4:$H$101, 0),
    _xlpm.life, _xlfn.XLOOKUP(TRIM(D127), Settings!$F$4:$F$101, Settings!$I$4:$I$101, 1),
    _xlpm.pct, _xlfn.XLOOKUP(TRIM(D127), Settings!$F$4:$F$101, Settings!$J$4:$J$101, 0),
    _xlpm.qty * _xlpm.hours * (_xlpm.price / _xlpm.life * _xlpm.pct)
)</f>
        <v>6736.6666666666661</v>
      </c>
      <c r="Q127" s="2">
        <f>Jobs[[#This Row],[Post Pro/h]]*Settings!$D$18</f>
        <v>0</v>
      </c>
      <c r="R127" s="2">
        <f>(Jobs[[#This Row],[power/t]]+Jobs[[#This Row],[Matrial/t]]+Jobs[[#This Row],[downturn/t]]+Jobs[[#This Row],[Maintenance/t]]+Jobs[[#This Row],[Coloring/t]]+Jobs[[#This Row],[Extras]])*Settings!$D$12</f>
        <v>181880.49599999998</v>
      </c>
      <c r="S127" s="2">
        <f>Jobs[[#This Row],[Matrial/t]] + Jobs[[#This Row],[power/t]] + Jobs[[#This Row],[downturn/t]] + Jobs[[#This Row],[Maintenance/t]] + Jobs[[#This Row],[Coloring/t]] + Jobs[[#This Row],[overhead/t]] + Jobs[[#This Row],[Extras]]</f>
        <v>788148.81599999988</v>
      </c>
      <c r="T127" s="2">
        <f>S127*(1+Settings!$D$5)</f>
        <v>2364446.4479999999</v>
      </c>
      <c r="U127" s="2">
        <f>Jobs[[#This Row],[Sugested Price/t]] - Jobs[[#This Row],[base price/t]]</f>
        <v>1576297.632</v>
      </c>
      <c r="V127" s="3">
        <f>IFERROR(Jobs[[#This Row],[Gross margin/t]] / Jobs[[#This Row],[base price/t]], 0)</f>
        <v>2.0000000000000004</v>
      </c>
    </row>
    <row r="128" spans="1:22" x14ac:dyDescent="0.25">
      <c r="B128" s="18" t="s">
        <v>255</v>
      </c>
      <c r="C128" s="18">
        <v>1</v>
      </c>
      <c r="D128" t="s">
        <v>129</v>
      </c>
      <c r="E128" t="s">
        <v>5</v>
      </c>
      <c r="F128" t="s">
        <v>22</v>
      </c>
      <c r="G128" s="1">
        <v>48</v>
      </c>
      <c r="J128" s="37">
        <v>8.3333333333333329E-2</v>
      </c>
      <c r="K128" s="22"/>
      <c r="L128" s="2"/>
      <c r="M128" s="2">
        <f>_xlfn.LET(
    _xlpm.qty, C128,
    _xlpm.weight_g, G128 + H128 + Jobs[[#This Row],[Flushed/g]],
    _xlpm.material, TRIM(E128),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131040</v>
      </c>
      <c r="N128" s="2">
        <f>_xlfn.LET(
    _xlpm.qty, C128,
    _xlpm.hours, J128*24,
    _xlpm.power_w, _xlfn.XLOOKUP(TRIM(D128), Settings!$F$4:$F$101, Settings!$G$4:$G$101, 120),
    _xlpm.rate, Settings!$D$4,
    _xlpm.qty * _xlpm.hours * (_xlpm.power_w / 1000) * _xlpm.rate
)</f>
        <v>194.88</v>
      </c>
      <c r="O128" s="2">
        <f>_xlfn.LET(
    _xlpm.qty, C128,
    _xlpm.hours, J128*24,
    _xlpm.price, _xlfn.XLOOKUP(TRIM(D128), Settings!$F$4:$F$101, Settings!$H$4:$H$101, 0),
    _xlpm.life, _xlfn.XLOOKUP(TRIM(D128), Settings!$F$4:$F$101, Settings!$I$4:$I$101, 1),
    _xlpm.qty * _xlpm.hours * (_xlpm.price / _xlpm.life)
)</f>
        <v>37600</v>
      </c>
      <c r="P128" s="2">
        <f>_xlfn.LET(
    _xlpm.qty, C128,
    _xlpm.hours, J128*24,
    _xlpm.price, _xlfn.XLOOKUP(TRIM(D128), Settings!$F$4:$F$101, Settings!$H$4:$H$101, 0),
    _xlpm.life, _xlfn.XLOOKUP(TRIM(D128), Settings!$F$4:$F$101, Settings!$I$4:$I$101, 1),
    _xlpm.pct, _xlfn.XLOOKUP(TRIM(D128), Settings!$F$4:$F$101, Settings!$J$4:$J$101, 0),
    _xlpm.qty * _xlpm.hours * (_xlpm.price / _xlpm.life * _xlpm.pct)
)</f>
        <v>1880</v>
      </c>
      <c r="Q128" s="2">
        <f>Jobs[[#This Row],[Post Pro/h]]*Settings!$D$18</f>
        <v>0</v>
      </c>
      <c r="R128" s="2">
        <f>(Jobs[[#This Row],[power/t]]+Jobs[[#This Row],[Matrial/t]]+Jobs[[#This Row],[downturn/t]]+Jobs[[#This Row],[Maintenance/t]]+Jobs[[#This Row],[Coloring/t]]+Jobs[[#This Row],[Extras]])*Settings!$D$12</f>
        <v>51214.464</v>
      </c>
      <c r="S128" s="2">
        <f>Jobs[[#This Row],[Matrial/t]] + Jobs[[#This Row],[power/t]] + Jobs[[#This Row],[downturn/t]] + Jobs[[#This Row],[Maintenance/t]] + Jobs[[#This Row],[Coloring/t]] + Jobs[[#This Row],[overhead/t]] + Jobs[[#This Row],[Extras]]</f>
        <v>221929.34400000001</v>
      </c>
      <c r="T128" s="2">
        <f>S128*(1+Settings!$D$5)</f>
        <v>665788.03200000001</v>
      </c>
      <c r="U128" s="2">
        <f>Jobs[[#This Row],[Sugested Price/t]] - Jobs[[#This Row],[base price/t]]</f>
        <v>443858.68799999997</v>
      </c>
      <c r="V128" s="3">
        <f>IFERROR(Jobs[[#This Row],[Gross margin/t]] / Jobs[[#This Row],[base price/t]], 0)</f>
        <v>1.9999999999999998</v>
      </c>
    </row>
    <row r="129" spans="2:22" x14ac:dyDescent="0.25">
      <c r="B129" s="18" t="s">
        <v>247</v>
      </c>
      <c r="C129" s="18">
        <v>1</v>
      </c>
      <c r="D129" t="s">
        <v>129</v>
      </c>
      <c r="E129" t="s">
        <v>5</v>
      </c>
      <c r="F129" t="s">
        <v>22</v>
      </c>
      <c r="G129" s="1">
        <v>200</v>
      </c>
      <c r="J129" s="37">
        <v>0.30555555555555558</v>
      </c>
      <c r="K129" s="22"/>
      <c r="L129" s="2"/>
      <c r="M129" s="2">
        <f>_xlfn.LET(
    _xlpm.qty, C129,
    _xlpm.weight_g, G129 + H129 + Jobs[[#This Row],[Flushed/g]],
    _xlpm.material, TRIM(E129),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546000</v>
      </c>
      <c r="N129" s="2">
        <f>_xlfn.LET(
    _xlpm.qty, C129,
    _xlpm.hours, J129*24,
    _xlpm.power_w, _xlfn.XLOOKUP(TRIM(D129), Settings!$F$4:$F$101, Settings!$G$4:$G$101, 120),
    _xlpm.rate, Settings!$D$4,
    _xlpm.qty * _xlpm.hours * (_xlpm.power_w / 1000) * _xlpm.rate
)</f>
        <v>714.56000000000006</v>
      </c>
      <c r="O129" s="2">
        <f>_xlfn.LET(
    _xlpm.qty, C129,
    _xlpm.hours, J129*24,
    _xlpm.price, _xlfn.XLOOKUP(TRIM(D129), Settings!$F$4:$F$101, Settings!$H$4:$H$101, 0),
    _xlpm.life, _xlfn.XLOOKUP(TRIM(D129), Settings!$F$4:$F$101, Settings!$I$4:$I$101, 1),
    _xlpm.qty * _xlpm.hours * (_xlpm.price / _xlpm.life)
)</f>
        <v>137866.66666666669</v>
      </c>
      <c r="P129" s="2">
        <f>_xlfn.LET(
    _xlpm.qty, C129,
    _xlpm.hours, J129*24,
    _xlpm.price, _xlfn.XLOOKUP(TRIM(D129), Settings!$F$4:$F$101, Settings!$H$4:$H$101, 0),
    _xlpm.life, _xlfn.XLOOKUP(TRIM(D129), Settings!$F$4:$F$101, Settings!$I$4:$I$101, 1),
    _xlpm.pct, _xlfn.XLOOKUP(TRIM(D129), Settings!$F$4:$F$101, Settings!$J$4:$J$101, 0),
    _xlpm.qty * _xlpm.hours * (_xlpm.price / _xlpm.life * _xlpm.pct)
)</f>
        <v>6893.3333333333339</v>
      </c>
      <c r="Q129" s="2">
        <f>Jobs[[#This Row],[Post Pro/h]]*Settings!$D$18</f>
        <v>0</v>
      </c>
      <c r="R129" s="2">
        <f>(Jobs[[#This Row],[power/t]]+Jobs[[#This Row],[Matrial/t]]+Jobs[[#This Row],[downturn/t]]+Jobs[[#This Row],[Maintenance/t]]+Jobs[[#This Row],[Coloring/t]]+Jobs[[#This Row],[Extras]])*Settings!$D$12</f>
        <v>207442.36800000005</v>
      </c>
      <c r="S129" s="2">
        <f>Jobs[[#This Row],[Matrial/t]] + Jobs[[#This Row],[power/t]] + Jobs[[#This Row],[downturn/t]] + Jobs[[#This Row],[Maintenance/t]] + Jobs[[#This Row],[Coloring/t]] + Jobs[[#This Row],[overhead/t]] + Jobs[[#This Row],[Extras]]</f>
        <v>898916.92800000019</v>
      </c>
      <c r="T129" s="2">
        <f>S129*(1+Settings!$D$5)</f>
        <v>2696750.7840000005</v>
      </c>
      <c r="U129" s="2">
        <f>Jobs[[#This Row],[Sugested Price/t]] - Jobs[[#This Row],[base price/t]]</f>
        <v>1797833.8560000001</v>
      </c>
      <c r="V129" s="3">
        <f>IFERROR(Jobs[[#This Row],[Gross margin/t]] / Jobs[[#This Row],[base price/t]], 0)</f>
        <v>1.9999999999999998</v>
      </c>
    </row>
    <row r="130" spans="2:22" x14ac:dyDescent="0.25">
      <c r="B130" s="18" t="s">
        <v>248</v>
      </c>
      <c r="C130" s="18">
        <v>1</v>
      </c>
      <c r="D130" t="s">
        <v>129</v>
      </c>
      <c r="E130" t="s">
        <v>5</v>
      </c>
      <c r="F130" t="s">
        <v>22</v>
      </c>
      <c r="G130" s="1">
        <v>215</v>
      </c>
      <c r="J130" s="37">
        <v>0.39583333333333331</v>
      </c>
      <c r="K130" s="22"/>
      <c r="L130" s="2"/>
      <c r="M130" s="2">
        <f>_xlfn.LET(
    _xlpm.qty, C130,
    _xlpm.weight_g, G130 + H130 + Jobs[[#This Row],[Flushed/g]],
    _xlpm.material, TRIM(E130),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586950</v>
      </c>
      <c r="N130" s="2">
        <f>_xlfn.LET(
    _xlpm.qty, C130,
    _xlpm.hours, J130*24,
    _xlpm.power_w, _xlfn.XLOOKUP(TRIM(D130), Settings!$F$4:$F$101, Settings!$G$4:$G$101, 120),
    _xlpm.rate, Settings!$D$4,
    _xlpm.qty * _xlpm.hours * (_xlpm.power_w / 1000) * _xlpm.rate
)</f>
        <v>925.68</v>
      </c>
      <c r="O130" s="2">
        <f>_xlfn.LET(
    _xlpm.qty, C130,
    _xlpm.hours, J130*24,
    _xlpm.price, _xlfn.XLOOKUP(TRIM(D130), Settings!$F$4:$F$101, Settings!$H$4:$H$101, 0),
    _xlpm.life, _xlfn.XLOOKUP(TRIM(D130), Settings!$F$4:$F$101, Settings!$I$4:$I$101, 1),
    _xlpm.qty * _xlpm.hours * (_xlpm.price / _xlpm.life)
)</f>
        <v>178600</v>
      </c>
      <c r="P130" s="2">
        <f>_xlfn.LET(
    _xlpm.qty, C130,
    _xlpm.hours, J130*24,
    _xlpm.price, _xlfn.XLOOKUP(TRIM(D130), Settings!$F$4:$F$101, Settings!$H$4:$H$101, 0),
    _xlpm.life, _xlfn.XLOOKUP(TRIM(D130), Settings!$F$4:$F$101, Settings!$I$4:$I$101, 1),
    _xlpm.pct, _xlfn.XLOOKUP(TRIM(D130), Settings!$F$4:$F$101, Settings!$J$4:$J$101, 0),
    _xlpm.qty * _xlpm.hours * (_xlpm.price / _xlpm.life * _xlpm.pct)
)</f>
        <v>8930</v>
      </c>
      <c r="Q130" s="2">
        <f>Jobs[[#This Row],[Post Pro/h]]*Settings!$D$18</f>
        <v>0</v>
      </c>
      <c r="R130" s="2">
        <f>(Jobs[[#This Row],[power/t]]+Jobs[[#This Row],[Matrial/t]]+Jobs[[#This Row],[downturn/t]]+Jobs[[#This Row],[Maintenance/t]]+Jobs[[#This Row],[Coloring/t]]+Jobs[[#This Row],[Extras]])*Settings!$D$12</f>
        <v>232621.704</v>
      </c>
      <c r="S130" s="2">
        <f>Jobs[[#This Row],[Matrial/t]] + Jobs[[#This Row],[power/t]] + Jobs[[#This Row],[downturn/t]] + Jobs[[#This Row],[Maintenance/t]] + Jobs[[#This Row],[Coloring/t]] + Jobs[[#This Row],[overhead/t]] + Jobs[[#This Row],[Extras]]</f>
        <v>1008027.3840000001</v>
      </c>
      <c r="T130" s="2">
        <f>S130*(1+Settings!$D$5)</f>
        <v>3024082.1520000002</v>
      </c>
      <c r="U130" s="2">
        <f>Jobs[[#This Row],[Sugested Price/t]] - Jobs[[#This Row],[base price/t]]</f>
        <v>2016054.7680000002</v>
      </c>
      <c r="V130" s="3">
        <f>IFERROR(Jobs[[#This Row],[Gross margin/t]] / Jobs[[#This Row],[base price/t]], 0)</f>
        <v>2</v>
      </c>
    </row>
    <row r="131" spans="2:22" x14ac:dyDescent="0.25">
      <c r="B131" s="18" t="s">
        <v>249</v>
      </c>
      <c r="C131" s="18">
        <v>1</v>
      </c>
      <c r="D131" t="s">
        <v>129</v>
      </c>
      <c r="E131" t="s">
        <v>5</v>
      </c>
      <c r="F131" t="s">
        <v>22</v>
      </c>
      <c r="G131" s="1">
        <v>175</v>
      </c>
      <c r="J131" s="37">
        <v>0.34027777777777779</v>
      </c>
      <c r="K131" s="22"/>
      <c r="L131" s="2"/>
      <c r="M131" s="2">
        <f>_xlfn.LET(
    _xlpm.qty, C131,
    _xlpm.weight_g, G131 + H131 + Jobs[[#This Row],[Flushed/g]],
    _xlpm.material, TRIM(E131),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477750</v>
      </c>
      <c r="N131" s="2">
        <f>_xlfn.LET(
    _xlpm.qty, C131,
    _xlpm.hours, J131*24,
    _xlpm.power_w, _xlfn.XLOOKUP(TRIM(D131), Settings!$F$4:$F$101, Settings!$G$4:$G$101, 120),
    _xlpm.rate, Settings!$D$4,
    _xlpm.qty * _xlpm.hours * (_xlpm.power_w / 1000) * _xlpm.rate
)</f>
        <v>795.7600000000001</v>
      </c>
      <c r="O131" s="2">
        <f>_xlfn.LET(
    _xlpm.qty, C131,
    _xlpm.hours, J131*24,
    _xlpm.price, _xlfn.XLOOKUP(TRIM(D131), Settings!$F$4:$F$101, Settings!$H$4:$H$101, 0),
    _xlpm.life, _xlfn.XLOOKUP(TRIM(D131), Settings!$F$4:$F$101, Settings!$I$4:$I$101, 1),
    _xlpm.qty * _xlpm.hours * (_xlpm.price / _xlpm.life)
)</f>
        <v>153533.33333333334</v>
      </c>
      <c r="P131" s="2">
        <f>_xlfn.LET(
    _xlpm.qty, C131,
    _xlpm.hours, J131*24,
    _xlpm.price, _xlfn.XLOOKUP(TRIM(D131), Settings!$F$4:$F$101, Settings!$H$4:$H$101, 0),
    _xlpm.life, _xlfn.XLOOKUP(TRIM(D131), Settings!$F$4:$F$101, Settings!$I$4:$I$101, 1),
    _xlpm.pct, _xlfn.XLOOKUP(TRIM(D131), Settings!$F$4:$F$101, Settings!$J$4:$J$101, 0),
    _xlpm.qty * _xlpm.hours * (_xlpm.price / _xlpm.life * _xlpm.pct)
)</f>
        <v>7676.6666666666679</v>
      </c>
      <c r="Q131" s="2">
        <f>Jobs[[#This Row],[Post Pro/h]]*Settings!$D$18</f>
        <v>0</v>
      </c>
      <c r="R131" s="2">
        <f>(Jobs[[#This Row],[power/t]]+Jobs[[#This Row],[Matrial/t]]+Jobs[[#This Row],[downturn/t]]+Jobs[[#This Row],[Maintenance/t]]+Jobs[[#This Row],[Coloring/t]]+Jobs[[#This Row],[Extras]])*Settings!$D$12</f>
        <v>191926.728</v>
      </c>
      <c r="S131" s="2">
        <f>Jobs[[#This Row],[Matrial/t]] + Jobs[[#This Row],[power/t]] + Jobs[[#This Row],[downturn/t]] + Jobs[[#This Row],[Maintenance/t]] + Jobs[[#This Row],[Coloring/t]] + Jobs[[#This Row],[overhead/t]] + Jobs[[#This Row],[Extras]]</f>
        <v>831682.48800000001</v>
      </c>
      <c r="T131" s="2">
        <f>S131*(1+Settings!$D$5)</f>
        <v>2495047.4640000002</v>
      </c>
      <c r="U131" s="2">
        <f>Jobs[[#This Row],[Sugested Price/t]] - Jobs[[#This Row],[base price/t]]</f>
        <v>1663364.9760000003</v>
      </c>
      <c r="V131" s="3">
        <f>IFERROR(Jobs[[#This Row],[Gross margin/t]] / Jobs[[#This Row],[base price/t]], 0)</f>
        <v>2.0000000000000004</v>
      </c>
    </row>
    <row r="132" spans="2:22" x14ac:dyDescent="0.25">
      <c r="B132" s="18" t="s">
        <v>250</v>
      </c>
      <c r="C132" s="18">
        <v>1</v>
      </c>
      <c r="D132" t="s">
        <v>129</v>
      </c>
      <c r="E132" t="s">
        <v>5</v>
      </c>
      <c r="F132" t="s">
        <v>22</v>
      </c>
      <c r="G132" s="1">
        <v>300</v>
      </c>
      <c r="J132" s="37">
        <v>0.375</v>
      </c>
      <c r="K132" s="22"/>
      <c r="L132" s="2"/>
      <c r="M132" s="2">
        <f>_xlfn.LET(
    _xlpm.qty, C132,
    _xlpm.weight_g, G132 + H132 + Jobs[[#This Row],[Flushed/g]],
    _xlpm.material, TRIM(E132),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819000</v>
      </c>
      <c r="N132" s="2">
        <f>_xlfn.LET(
    _xlpm.qty, C132,
    _xlpm.hours, J132*24,
    _xlpm.power_w, _xlfn.XLOOKUP(TRIM(D132), Settings!$F$4:$F$101, Settings!$G$4:$G$101, 120),
    _xlpm.rate, Settings!$D$4,
    _xlpm.qty * _xlpm.hours * (_xlpm.power_w / 1000) * _xlpm.rate
)</f>
        <v>876.96</v>
      </c>
      <c r="O132" s="2">
        <f>_xlfn.LET(
    _xlpm.qty, C132,
    _xlpm.hours, J132*24,
    _xlpm.price, _xlfn.XLOOKUP(TRIM(D132), Settings!$F$4:$F$101, Settings!$H$4:$H$101, 0),
    _xlpm.life, _xlfn.XLOOKUP(TRIM(D132), Settings!$F$4:$F$101, Settings!$I$4:$I$101, 1),
    _xlpm.qty * _xlpm.hours * (_xlpm.price / _xlpm.life)
)</f>
        <v>169200</v>
      </c>
      <c r="P132" s="2">
        <f>_xlfn.LET(
    _xlpm.qty, C132,
    _xlpm.hours, J132*24,
    _xlpm.price, _xlfn.XLOOKUP(TRIM(D132), Settings!$F$4:$F$101, Settings!$H$4:$H$101, 0),
    _xlpm.life, _xlfn.XLOOKUP(TRIM(D132), Settings!$F$4:$F$101, Settings!$I$4:$I$101, 1),
    _xlpm.pct, _xlfn.XLOOKUP(TRIM(D132), Settings!$F$4:$F$101, Settings!$J$4:$J$101, 0),
    _xlpm.qty * _xlpm.hours * (_xlpm.price / _xlpm.life * _xlpm.pct)
)</f>
        <v>8460</v>
      </c>
      <c r="Q132" s="2">
        <f>Jobs[[#This Row],[Post Pro/h]]*Settings!$D$18</f>
        <v>0</v>
      </c>
      <c r="R132" s="2">
        <f>(Jobs[[#This Row],[power/t]]+Jobs[[#This Row],[Matrial/t]]+Jobs[[#This Row],[downturn/t]]+Jobs[[#This Row],[Maintenance/t]]+Jobs[[#This Row],[Coloring/t]]+Jobs[[#This Row],[Extras]])*Settings!$D$12</f>
        <v>299261.08799999999</v>
      </c>
      <c r="S132" s="2">
        <f>Jobs[[#This Row],[Matrial/t]] + Jobs[[#This Row],[power/t]] + Jobs[[#This Row],[downturn/t]] + Jobs[[#This Row],[Maintenance/t]] + Jobs[[#This Row],[Coloring/t]] + Jobs[[#This Row],[overhead/t]] + Jobs[[#This Row],[Extras]]</f>
        <v>1296798.048</v>
      </c>
      <c r="T132" s="2">
        <f>S132*(1+Settings!$D$5)</f>
        <v>3890394.1439999999</v>
      </c>
      <c r="U132" s="2">
        <f>Jobs[[#This Row],[Sugested Price/t]] - Jobs[[#This Row],[base price/t]]</f>
        <v>2593596.0959999999</v>
      </c>
      <c r="V132" s="3">
        <f>IFERROR(Jobs[[#This Row],[Gross margin/t]] / Jobs[[#This Row],[base price/t]], 0)</f>
        <v>2</v>
      </c>
    </row>
    <row r="133" spans="2:22" x14ac:dyDescent="0.25">
      <c r="B133" s="18" t="s">
        <v>260</v>
      </c>
      <c r="C133" s="18">
        <v>1</v>
      </c>
      <c r="D133" t="s">
        <v>129</v>
      </c>
      <c r="E133" t="s">
        <v>5</v>
      </c>
      <c r="F133" t="s">
        <v>22</v>
      </c>
      <c r="G133" s="1">
        <v>66</v>
      </c>
      <c r="J133" s="37">
        <v>0.1111111111111111</v>
      </c>
      <c r="K133" s="22"/>
      <c r="L133" s="2"/>
      <c r="M133" s="2">
        <f>_xlfn.LET(
    _xlpm.qty, C133,
    _xlpm.weight_g, G133 + H133 + Jobs[[#This Row],[Flushed/g]],
    _xlpm.material, TRIM(E133),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180180</v>
      </c>
      <c r="N133" s="2">
        <f>_xlfn.LET(
    _xlpm.qty, C133,
    _xlpm.hours, J133*24,
    _xlpm.power_w, _xlfn.XLOOKUP(TRIM(D133), Settings!$F$4:$F$101, Settings!$G$4:$G$101, 120),
    _xlpm.rate, Settings!$D$4,
    _xlpm.qty * _xlpm.hours * (_xlpm.power_w / 1000) * _xlpm.rate
)</f>
        <v>259.83999999999997</v>
      </c>
      <c r="O133" s="2">
        <f>_xlfn.LET(
    _xlpm.qty, C133,
    _xlpm.hours, J133*24,
    _xlpm.price, _xlfn.XLOOKUP(TRIM(D133), Settings!$F$4:$F$101, Settings!$H$4:$H$101, 0),
    _xlpm.life, _xlfn.XLOOKUP(TRIM(D133), Settings!$F$4:$F$101, Settings!$I$4:$I$101, 1),
    _xlpm.qty * _xlpm.hours * (_xlpm.price / _xlpm.life)
)</f>
        <v>50133.333333333328</v>
      </c>
      <c r="P133" s="2">
        <f>_xlfn.LET(
    _xlpm.qty, C133,
    _xlpm.hours, J133*24,
    _xlpm.price, _xlfn.XLOOKUP(TRIM(D133), Settings!$F$4:$F$101, Settings!$H$4:$H$101, 0),
    _xlpm.life, _xlfn.XLOOKUP(TRIM(D133), Settings!$F$4:$F$101, Settings!$I$4:$I$101, 1),
    _xlpm.pct, _xlfn.XLOOKUP(TRIM(D133), Settings!$F$4:$F$101, Settings!$J$4:$J$101, 0),
    _xlpm.qty * _xlpm.hours * (_xlpm.price / _xlpm.life * _xlpm.pct)
)</f>
        <v>2506.6666666666665</v>
      </c>
      <c r="Q133" s="2">
        <f>Jobs[[#This Row],[Post Pro/h]]*Settings!$D$18</f>
        <v>0</v>
      </c>
      <c r="R133" s="2">
        <f>(Jobs[[#This Row],[power/t]]+Jobs[[#This Row],[Matrial/t]]+Jobs[[#This Row],[downturn/t]]+Jobs[[#This Row],[Maintenance/t]]+Jobs[[#This Row],[Coloring/t]]+Jobs[[#This Row],[Extras]])*Settings!$D$12</f>
        <v>69923.95199999999</v>
      </c>
      <c r="S133" s="2">
        <f>Jobs[[#This Row],[Matrial/t]] + Jobs[[#This Row],[power/t]] + Jobs[[#This Row],[downturn/t]] + Jobs[[#This Row],[Maintenance/t]] + Jobs[[#This Row],[Coloring/t]] + Jobs[[#This Row],[overhead/t]] + Jobs[[#This Row],[Extras]]</f>
        <v>303003.79200000002</v>
      </c>
      <c r="T133" s="2">
        <f>S133*(1+Settings!$D$5)</f>
        <v>909011.37600000005</v>
      </c>
      <c r="U133" s="2">
        <f>Jobs[[#This Row],[Sugested Price/t]] - Jobs[[#This Row],[base price/t]]</f>
        <v>606007.58400000003</v>
      </c>
      <c r="V133" s="3">
        <f>IFERROR(Jobs[[#This Row],[Gross margin/t]] / Jobs[[#This Row],[base price/t]], 0)</f>
        <v>2</v>
      </c>
    </row>
    <row r="134" spans="2:22" x14ac:dyDescent="0.25">
      <c r="B134" s="18" t="s">
        <v>256</v>
      </c>
      <c r="C134" s="18">
        <v>1</v>
      </c>
      <c r="D134" t="s">
        <v>129</v>
      </c>
      <c r="E134" t="s">
        <v>5</v>
      </c>
      <c r="F134" t="s">
        <v>22</v>
      </c>
      <c r="G134" s="1">
        <v>100</v>
      </c>
      <c r="J134" s="37">
        <v>0.2013888888888889</v>
      </c>
      <c r="K134" s="22"/>
      <c r="L134" s="2"/>
      <c r="M134" s="2">
        <f>_xlfn.LET(
    _xlpm.qty, C134,
    _xlpm.weight_g, G134 + H134 + Jobs[[#This Row],[Flushed/g]],
    _xlpm.material, TRIM(E134),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273000</v>
      </c>
      <c r="N134" s="2">
        <f>_xlfn.LET(
    _xlpm.qty, C134,
    _xlpm.hours, J134*24,
    _xlpm.power_w, _xlfn.XLOOKUP(TRIM(D134), Settings!$F$4:$F$101, Settings!$G$4:$G$101, 120),
    _xlpm.rate, Settings!$D$4,
    _xlpm.qty * _xlpm.hours * (_xlpm.power_w / 1000) * _xlpm.rate
)</f>
        <v>470.96000000000004</v>
      </c>
      <c r="O134" s="2">
        <f>_xlfn.LET(
    _xlpm.qty, C134,
    _xlpm.hours, J134*24,
    _xlpm.price, _xlfn.XLOOKUP(TRIM(D134), Settings!$F$4:$F$101, Settings!$H$4:$H$101, 0),
    _xlpm.life, _xlfn.XLOOKUP(TRIM(D134), Settings!$F$4:$F$101, Settings!$I$4:$I$101, 1),
    _xlpm.qty * _xlpm.hours * (_xlpm.price / _xlpm.life)
)</f>
        <v>90866.666666666672</v>
      </c>
      <c r="P134" s="2">
        <f>_xlfn.LET(
    _xlpm.qty, C134,
    _xlpm.hours, J134*24,
    _xlpm.price, _xlfn.XLOOKUP(TRIM(D134), Settings!$F$4:$F$101, Settings!$H$4:$H$101, 0),
    _xlpm.life, _xlfn.XLOOKUP(TRIM(D134), Settings!$F$4:$F$101, Settings!$I$4:$I$101, 1),
    _xlpm.pct, _xlfn.XLOOKUP(TRIM(D134), Settings!$F$4:$F$101, Settings!$J$4:$J$101, 0),
    _xlpm.qty * _xlpm.hours * (_xlpm.price / _xlpm.life * _xlpm.pct)
)</f>
        <v>4543.3333333333339</v>
      </c>
      <c r="Q134" s="2">
        <f>Jobs[[#This Row],[Post Pro/h]]*Settings!$D$18</f>
        <v>0</v>
      </c>
      <c r="R134" s="2">
        <f>(Jobs[[#This Row],[power/t]]+Jobs[[#This Row],[Matrial/t]]+Jobs[[#This Row],[downturn/t]]+Jobs[[#This Row],[Maintenance/t]]+Jobs[[#This Row],[Coloring/t]]+Jobs[[#This Row],[Extras]])*Settings!$D$12</f>
        <v>110664.288</v>
      </c>
      <c r="S134" s="2">
        <f>Jobs[[#This Row],[Matrial/t]] + Jobs[[#This Row],[power/t]] + Jobs[[#This Row],[downturn/t]] + Jobs[[#This Row],[Maintenance/t]] + Jobs[[#This Row],[Coloring/t]] + Jobs[[#This Row],[overhead/t]] + Jobs[[#This Row],[Extras]]</f>
        <v>479545.24800000002</v>
      </c>
      <c r="T134" s="2">
        <f>S134*(1+Settings!$D$5)</f>
        <v>1438635.7439999999</v>
      </c>
      <c r="U134" s="2">
        <f>Jobs[[#This Row],[Sugested Price/t]] - Jobs[[#This Row],[base price/t]]</f>
        <v>959090.49599999993</v>
      </c>
      <c r="V134" s="3">
        <f>IFERROR(Jobs[[#This Row],[Gross margin/t]] / Jobs[[#This Row],[base price/t]], 0)</f>
        <v>1.9999999999999998</v>
      </c>
    </row>
    <row r="135" spans="2:22" x14ac:dyDescent="0.25">
      <c r="B135" s="18" t="s">
        <v>257</v>
      </c>
      <c r="C135" s="18">
        <v>1</v>
      </c>
      <c r="D135" t="s">
        <v>129</v>
      </c>
      <c r="E135" t="s">
        <v>5</v>
      </c>
      <c r="F135" t="s">
        <v>22</v>
      </c>
      <c r="G135" s="1">
        <v>60</v>
      </c>
      <c r="J135" s="37">
        <v>0.1875</v>
      </c>
      <c r="K135" s="22"/>
      <c r="L135" s="2"/>
      <c r="M135" s="2">
        <f>_xlfn.LET(
    _xlpm.qty, C135,
    _xlpm.weight_g, G135 + H135 + Jobs[[#This Row],[Flushed/g]],
    _xlpm.material, TRIM(E135),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163800</v>
      </c>
      <c r="N135" s="2">
        <f>_xlfn.LET(
    _xlpm.qty, C135,
    _xlpm.hours, J135*24,
    _xlpm.power_w, _xlfn.XLOOKUP(TRIM(D135), Settings!$F$4:$F$101, Settings!$G$4:$G$101, 120),
    _xlpm.rate, Settings!$D$4,
    _xlpm.qty * _xlpm.hours * (_xlpm.power_w / 1000) * _xlpm.rate
)</f>
        <v>438.48</v>
      </c>
      <c r="O135" s="2">
        <f>_xlfn.LET(
    _xlpm.qty, C135,
    _xlpm.hours, J135*24,
    _xlpm.price, _xlfn.XLOOKUP(TRIM(D135), Settings!$F$4:$F$101, Settings!$H$4:$H$101, 0),
    _xlpm.life, _xlfn.XLOOKUP(TRIM(D135), Settings!$F$4:$F$101, Settings!$I$4:$I$101, 1),
    _xlpm.qty * _xlpm.hours * (_xlpm.price / _xlpm.life)
)</f>
        <v>84600</v>
      </c>
      <c r="P135" s="2">
        <f>_xlfn.LET(
    _xlpm.qty, C135,
    _xlpm.hours, J135*24,
    _xlpm.price, _xlfn.XLOOKUP(TRIM(D135), Settings!$F$4:$F$101, Settings!$H$4:$H$101, 0),
    _xlpm.life, _xlfn.XLOOKUP(TRIM(D135), Settings!$F$4:$F$101, Settings!$I$4:$I$101, 1),
    _xlpm.pct, _xlfn.XLOOKUP(TRIM(D135), Settings!$F$4:$F$101, Settings!$J$4:$J$101, 0),
    _xlpm.qty * _xlpm.hours * (_xlpm.price / _xlpm.life * _xlpm.pct)
)</f>
        <v>4230</v>
      </c>
      <c r="Q135" s="2">
        <f>Jobs[[#This Row],[Post Pro/h]]*Settings!$D$18</f>
        <v>0</v>
      </c>
      <c r="R135" s="2">
        <f>(Jobs[[#This Row],[power/t]]+Jobs[[#This Row],[Matrial/t]]+Jobs[[#This Row],[downturn/t]]+Jobs[[#This Row],[Maintenance/t]]+Jobs[[#This Row],[Coloring/t]]+Jobs[[#This Row],[Extras]])*Settings!$D$12</f>
        <v>75920.543999999994</v>
      </c>
      <c r="S135" s="2">
        <f>Jobs[[#This Row],[Matrial/t]] + Jobs[[#This Row],[power/t]] + Jobs[[#This Row],[downturn/t]] + Jobs[[#This Row],[Maintenance/t]] + Jobs[[#This Row],[Coloring/t]] + Jobs[[#This Row],[overhead/t]] + Jobs[[#This Row],[Extras]]</f>
        <v>328989.02399999998</v>
      </c>
      <c r="T135" s="2">
        <f>S135*(1+Settings!$D$5)</f>
        <v>986967.07199999993</v>
      </c>
      <c r="U135" s="2">
        <f>Jobs[[#This Row],[Sugested Price/t]] - Jobs[[#This Row],[base price/t]]</f>
        <v>657978.04799999995</v>
      </c>
      <c r="V135" s="3">
        <f>IFERROR(Jobs[[#This Row],[Gross margin/t]] / Jobs[[#This Row],[base price/t]], 0)</f>
        <v>2</v>
      </c>
    </row>
    <row r="136" spans="2:22" x14ac:dyDescent="0.25">
      <c r="B136" s="18" t="s">
        <v>258</v>
      </c>
      <c r="C136" s="18">
        <v>1</v>
      </c>
      <c r="D136" t="s">
        <v>129</v>
      </c>
      <c r="E136" t="s">
        <v>5</v>
      </c>
      <c r="F136" t="s">
        <v>22</v>
      </c>
      <c r="G136" s="1">
        <v>170</v>
      </c>
      <c r="J136" s="37">
        <v>0.35416666666666669</v>
      </c>
      <c r="K136" s="22"/>
      <c r="L136" s="2"/>
      <c r="M136" s="2">
        <f>_xlfn.LET(
    _xlpm.qty, C136,
    _xlpm.weight_g, G136 + H136 + Jobs[[#This Row],[Flushed/g]],
    _xlpm.material, TRIM(E136),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464100.00000000006</v>
      </c>
      <c r="N136" s="2">
        <f>_xlfn.LET(
    _xlpm.qty, C136,
    _xlpm.hours, J136*24,
    _xlpm.power_w, _xlfn.XLOOKUP(TRIM(D136), Settings!$F$4:$F$101, Settings!$G$4:$G$101, 120),
    _xlpm.rate, Settings!$D$4,
    _xlpm.qty * _xlpm.hours * (_xlpm.power_w / 1000) * _xlpm.rate
)</f>
        <v>828.24</v>
      </c>
      <c r="O136" s="2">
        <f>_xlfn.LET(
    _xlpm.qty, C136,
    _xlpm.hours, J136*24,
    _xlpm.price, _xlfn.XLOOKUP(TRIM(D136), Settings!$F$4:$F$101, Settings!$H$4:$H$101, 0),
    _xlpm.life, _xlfn.XLOOKUP(TRIM(D136), Settings!$F$4:$F$101, Settings!$I$4:$I$101, 1),
    _xlpm.qty * _xlpm.hours * (_xlpm.price / _xlpm.life)
)</f>
        <v>159800</v>
      </c>
      <c r="P136" s="2">
        <f>_xlfn.LET(
    _xlpm.qty, C136,
    _xlpm.hours, J136*24,
    _xlpm.price, _xlfn.XLOOKUP(TRIM(D136), Settings!$F$4:$F$101, Settings!$H$4:$H$101, 0),
    _xlpm.life, _xlfn.XLOOKUP(TRIM(D136), Settings!$F$4:$F$101, Settings!$I$4:$I$101, 1),
    _xlpm.pct, _xlfn.XLOOKUP(TRIM(D136), Settings!$F$4:$F$101, Settings!$J$4:$J$101, 0),
    _xlpm.qty * _xlpm.hours * (_xlpm.price / _xlpm.life * _xlpm.pct)
)</f>
        <v>7990</v>
      </c>
      <c r="Q136" s="2">
        <f>Jobs[[#This Row],[Post Pro/h]]*Settings!$D$18</f>
        <v>0</v>
      </c>
      <c r="R136" s="2">
        <f>(Jobs[[#This Row],[power/t]]+Jobs[[#This Row],[Matrial/t]]+Jobs[[#This Row],[downturn/t]]+Jobs[[#This Row],[Maintenance/t]]+Jobs[[#This Row],[Coloring/t]]+Jobs[[#This Row],[Extras]])*Settings!$D$12</f>
        <v>189815.47199999998</v>
      </c>
      <c r="S136" s="2">
        <f>Jobs[[#This Row],[Matrial/t]] + Jobs[[#This Row],[power/t]] + Jobs[[#This Row],[downturn/t]] + Jobs[[#This Row],[Maintenance/t]] + Jobs[[#This Row],[Coloring/t]] + Jobs[[#This Row],[overhead/t]] + Jobs[[#This Row],[Extras]]</f>
        <v>822533.71199999994</v>
      </c>
      <c r="T136" s="2">
        <f>S136*(1+Settings!$D$5)</f>
        <v>2467601.1359999999</v>
      </c>
      <c r="U136" s="2">
        <f>Jobs[[#This Row],[Sugested Price/t]] - Jobs[[#This Row],[base price/t]]</f>
        <v>1645067.4240000001</v>
      </c>
      <c r="V136" s="3">
        <f>IFERROR(Jobs[[#This Row],[Gross margin/t]] / Jobs[[#This Row],[base price/t]], 0)</f>
        <v>2.0000000000000004</v>
      </c>
    </row>
    <row r="137" spans="2:22" x14ac:dyDescent="0.25">
      <c r="B137" s="18" t="s">
        <v>259</v>
      </c>
      <c r="C137" s="18">
        <v>1</v>
      </c>
      <c r="D137" t="s">
        <v>129</v>
      </c>
      <c r="E137" t="s">
        <v>5</v>
      </c>
      <c r="F137" t="s">
        <v>22</v>
      </c>
      <c r="G137" s="1">
        <v>380</v>
      </c>
      <c r="J137" s="37">
        <v>1.2395833333333333</v>
      </c>
      <c r="K137" s="22"/>
      <c r="L137" s="2"/>
      <c r="M137" s="2">
        <f>_xlfn.LET(
    _xlpm.qty, C137,
    _xlpm.weight_g, G137 + H137 + Jobs[[#This Row],[Flushed/g]],
    _xlpm.material, TRIM(E137),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1037400</v>
      </c>
      <c r="N137" s="2">
        <f>_xlfn.LET(
    _xlpm.qty, C137,
    _xlpm.hours, J137*24,
    _xlpm.power_w, _xlfn.XLOOKUP(TRIM(D137), Settings!$F$4:$F$101, Settings!$G$4:$G$101, 120),
    _xlpm.rate, Settings!$D$4,
    _xlpm.qty * _xlpm.hours * (_xlpm.power_w / 1000) * _xlpm.rate
)</f>
        <v>2898.8399999999997</v>
      </c>
      <c r="O137" s="2">
        <f>_xlfn.LET(
    _xlpm.qty, C137,
    _xlpm.hours, J137*24,
    _xlpm.price, _xlfn.XLOOKUP(TRIM(D137), Settings!$F$4:$F$101, Settings!$H$4:$H$101, 0),
    _xlpm.life, _xlfn.XLOOKUP(TRIM(D137), Settings!$F$4:$F$101, Settings!$I$4:$I$101, 1),
    _xlpm.qty * _xlpm.hours * (_xlpm.price / _xlpm.life)
)</f>
        <v>559300</v>
      </c>
      <c r="P137" s="2">
        <f>_xlfn.LET(
    _xlpm.qty, C137,
    _xlpm.hours, J137*24,
    _xlpm.price, _xlfn.XLOOKUP(TRIM(D137), Settings!$F$4:$F$101, Settings!$H$4:$H$101, 0),
    _xlpm.life, _xlfn.XLOOKUP(TRIM(D137), Settings!$F$4:$F$101, Settings!$I$4:$I$101, 1),
    _xlpm.pct, _xlfn.XLOOKUP(TRIM(D137), Settings!$F$4:$F$101, Settings!$J$4:$J$101, 0),
    _xlpm.qty * _xlpm.hours * (_xlpm.price / _xlpm.life * _xlpm.pct)
)</f>
        <v>27965</v>
      </c>
      <c r="Q137" s="2">
        <f>Jobs[[#This Row],[Post Pro/h]]*Settings!$D$18</f>
        <v>0</v>
      </c>
      <c r="R137" s="2">
        <f>(Jobs[[#This Row],[power/t]]+Jobs[[#This Row],[Matrial/t]]+Jobs[[#This Row],[downturn/t]]+Jobs[[#This Row],[Maintenance/t]]+Jobs[[#This Row],[Coloring/t]]+Jobs[[#This Row],[Extras]])*Settings!$D$12</f>
        <v>488269.15199999994</v>
      </c>
      <c r="S137" s="2">
        <f>Jobs[[#This Row],[Matrial/t]] + Jobs[[#This Row],[power/t]] + Jobs[[#This Row],[downturn/t]] + Jobs[[#This Row],[Maintenance/t]] + Jobs[[#This Row],[Coloring/t]] + Jobs[[#This Row],[overhead/t]] + Jobs[[#This Row],[Extras]]</f>
        <v>2115832.9919999996</v>
      </c>
      <c r="T137" s="2">
        <f>S137*(1+Settings!$D$5)</f>
        <v>6347498.9759999989</v>
      </c>
      <c r="U137" s="2">
        <f>Jobs[[#This Row],[Sugested Price/t]] - Jobs[[#This Row],[base price/t]]</f>
        <v>4231665.9839999992</v>
      </c>
      <c r="V137" s="3">
        <f>IFERROR(Jobs[[#This Row],[Gross margin/t]] / Jobs[[#This Row],[base price/t]], 0)</f>
        <v>2</v>
      </c>
    </row>
    <row r="138" spans="2:22" x14ac:dyDescent="0.25">
      <c r="B138" s="18" t="s">
        <v>251</v>
      </c>
      <c r="C138" s="18">
        <v>1</v>
      </c>
      <c r="D138" t="s">
        <v>129</v>
      </c>
      <c r="E138" t="s">
        <v>7</v>
      </c>
      <c r="F138" t="s">
        <v>32</v>
      </c>
      <c r="G138" s="1">
        <v>360</v>
      </c>
      <c r="J138" s="37">
        <v>0.58333333333333337</v>
      </c>
      <c r="K138" s="22"/>
      <c r="L138" s="2"/>
      <c r="M138" s="2">
        <f>_xlfn.LET(
    _xlpm.qty, C138,
    _xlpm.weight_g, G138 + H138 + Jobs[[#This Row],[Flushed/g]],
    _xlpm.material, TRIM(E138),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1232640</v>
      </c>
      <c r="N138" s="2">
        <f>_xlfn.LET(
    _xlpm.qty, C138,
    _xlpm.hours, J138*24,
    _xlpm.power_w, _xlfn.XLOOKUP(TRIM(D138), Settings!$F$4:$F$101, Settings!$G$4:$G$101, 120),
    _xlpm.rate, Settings!$D$4,
    _xlpm.qty * _xlpm.hours * (_xlpm.power_w / 1000) * _xlpm.rate
)</f>
        <v>1364.1599999999999</v>
      </c>
      <c r="O138" s="2">
        <f>_xlfn.LET(
    _xlpm.qty, C138,
    _xlpm.hours, J138*24,
    _xlpm.price, _xlfn.XLOOKUP(TRIM(D138), Settings!$F$4:$F$101, Settings!$H$4:$H$101, 0),
    _xlpm.life, _xlfn.XLOOKUP(TRIM(D138), Settings!$F$4:$F$101, Settings!$I$4:$I$101, 1),
    _xlpm.qty * _xlpm.hours * (_xlpm.price / _xlpm.life)
)</f>
        <v>263200</v>
      </c>
      <c r="P138" s="2">
        <f>_xlfn.LET(
    _xlpm.qty, C138,
    _xlpm.hours, J138*24,
    _xlpm.price, _xlfn.XLOOKUP(TRIM(D138), Settings!$F$4:$F$101, Settings!$H$4:$H$101, 0),
    _xlpm.life, _xlfn.XLOOKUP(TRIM(D138), Settings!$F$4:$F$101, Settings!$I$4:$I$101, 1),
    _xlpm.pct, _xlfn.XLOOKUP(TRIM(D138), Settings!$F$4:$F$101, Settings!$J$4:$J$101, 0),
    _xlpm.qty * _xlpm.hours * (_xlpm.price / _xlpm.life * _xlpm.pct)
)</f>
        <v>13160</v>
      </c>
      <c r="Q138" s="2">
        <f>Jobs[[#This Row],[Post Pro/h]]*Settings!$D$18</f>
        <v>0</v>
      </c>
      <c r="R138" s="2">
        <f>(Jobs[[#This Row],[power/t]]+Jobs[[#This Row],[Matrial/t]]+Jobs[[#This Row],[downturn/t]]+Jobs[[#This Row],[Maintenance/t]]+Jobs[[#This Row],[Coloring/t]]+Jobs[[#This Row],[Extras]])*Settings!$D$12</f>
        <v>453109.24799999996</v>
      </c>
      <c r="S138" s="2">
        <f>Jobs[[#This Row],[Matrial/t]] + Jobs[[#This Row],[power/t]] + Jobs[[#This Row],[downturn/t]] + Jobs[[#This Row],[Maintenance/t]] + Jobs[[#This Row],[Coloring/t]] + Jobs[[#This Row],[overhead/t]] + Jobs[[#This Row],[Extras]]</f>
        <v>1963473.4079999998</v>
      </c>
      <c r="T138" s="2">
        <f>S138*(1+Settings!$D$5)</f>
        <v>5890420.2239999995</v>
      </c>
      <c r="U138" s="2">
        <f>Jobs[[#This Row],[Sugested Price/t]] - Jobs[[#This Row],[base price/t]]</f>
        <v>3926946.8159999996</v>
      </c>
      <c r="V138" s="3">
        <f>IFERROR(Jobs[[#This Row],[Gross margin/t]] / Jobs[[#This Row],[base price/t]], 0)</f>
        <v>2</v>
      </c>
    </row>
    <row r="139" spans="2:22" x14ac:dyDescent="0.25">
      <c r="B139" s="18" t="s">
        <v>252</v>
      </c>
      <c r="C139" s="18">
        <v>1</v>
      </c>
      <c r="D139" t="s">
        <v>129</v>
      </c>
      <c r="E139" t="s">
        <v>5</v>
      </c>
      <c r="F139" t="s">
        <v>32</v>
      </c>
      <c r="G139" s="1">
        <v>80</v>
      </c>
      <c r="J139" s="37">
        <v>0.10416666666666667</v>
      </c>
      <c r="K139" s="22"/>
      <c r="L139" s="2"/>
      <c r="M139" s="2">
        <f>_xlfn.LET(
    _xlpm.qty, C139,
    _xlpm.weight_g, G139 + H139 + Jobs[[#This Row],[Flushed/g]],
    _xlpm.material, TRIM(E139),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218400</v>
      </c>
      <c r="N139" s="2">
        <f>_xlfn.LET(
    _xlpm.qty, C139,
    _xlpm.hours, J139*24,
    _xlpm.power_w, _xlfn.XLOOKUP(TRIM(D139), Settings!$F$4:$F$101, Settings!$G$4:$G$101, 120),
    _xlpm.rate, Settings!$D$4,
    _xlpm.qty * _xlpm.hours * (_xlpm.power_w / 1000) * _xlpm.rate
)</f>
        <v>243.6</v>
      </c>
      <c r="O139" s="2">
        <f>_xlfn.LET(
    _xlpm.qty, C139,
    _xlpm.hours, J139*24,
    _xlpm.price, _xlfn.XLOOKUP(TRIM(D139), Settings!$F$4:$F$101, Settings!$H$4:$H$101, 0),
    _xlpm.life, _xlfn.XLOOKUP(TRIM(D139), Settings!$F$4:$F$101, Settings!$I$4:$I$101, 1),
    _xlpm.qty * _xlpm.hours * (_xlpm.price / _xlpm.life)
)</f>
        <v>47000</v>
      </c>
      <c r="P139" s="2">
        <f>_xlfn.LET(
    _xlpm.qty, C139,
    _xlpm.hours, J139*24,
    _xlpm.price, _xlfn.XLOOKUP(TRIM(D139), Settings!$F$4:$F$101, Settings!$H$4:$H$101, 0),
    _xlpm.life, _xlfn.XLOOKUP(TRIM(D139), Settings!$F$4:$F$101, Settings!$I$4:$I$101, 1),
    _xlpm.pct, _xlfn.XLOOKUP(TRIM(D139), Settings!$F$4:$F$101, Settings!$J$4:$J$101, 0),
    _xlpm.qty * _xlpm.hours * (_xlpm.price / _xlpm.life * _xlpm.pct)
)</f>
        <v>2350</v>
      </c>
      <c r="Q139" s="2">
        <f>Jobs[[#This Row],[Post Pro/h]]*Settings!$D$18</f>
        <v>0</v>
      </c>
      <c r="R139" s="2">
        <f>(Jobs[[#This Row],[power/t]]+Jobs[[#This Row],[Matrial/t]]+Jobs[[#This Row],[downturn/t]]+Jobs[[#This Row],[Maintenance/t]]+Jobs[[#This Row],[Coloring/t]]+Jobs[[#This Row],[Extras]])*Settings!$D$12</f>
        <v>80398.079999999987</v>
      </c>
      <c r="S139" s="2">
        <f>Jobs[[#This Row],[Matrial/t]] + Jobs[[#This Row],[power/t]] + Jobs[[#This Row],[downturn/t]] + Jobs[[#This Row],[Maintenance/t]] + Jobs[[#This Row],[Coloring/t]] + Jobs[[#This Row],[overhead/t]] + Jobs[[#This Row],[Extras]]</f>
        <v>348391.67999999993</v>
      </c>
      <c r="T139" s="2">
        <f>S139*(1+Settings!$D$5)</f>
        <v>1045175.0399999998</v>
      </c>
      <c r="U139" s="2">
        <f>Jobs[[#This Row],[Sugested Price/t]] - Jobs[[#This Row],[base price/t]]</f>
        <v>696783.35999999987</v>
      </c>
      <c r="V139" s="3">
        <f>IFERROR(Jobs[[#This Row],[Gross margin/t]] / Jobs[[#This Row],[base price/t]], 0)</f>
        <v>2</v>
      </c>
    </row>
    <row r="140" spans="2:22" x14ac:dyDescent="0.25">
      <c r="B140" s="18" t="s">
        <v>253</v>
      </c>
      <c r="C140" s="18">
        <v>1</v>
      </c>
      <c r="D140" t="s">
        <v>129</v>
      </c>
      <c r="E140" t="s">
        <v>5</v>
      </c>
      <c r="F140" t="s">
        <v>32</v>
      </c>
      <c r="G140" s="1">
        <v>520</v>
      </c>
      <c r="J140" s="37">
        <v>0.58333333333333337</v>
      </c>
      <c r="K140" s="22"/>
      <c r="L140" s="2"/>
      <c r="M140" s="2">
        <f>_xlfn.LET(
    _xlpm.qty, C140,
    _xlpm.weight_g, G140 + H140 + Jobs[[#This Row],[Flushed/g]],
    _xlpm.material, TRIM(E140),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1419600</v>
      </c>
      <c r="N140" s="2">
        <f>_xlfn.LET(
    _xlpm.qty, C140,
    _xlpm.hours, J140*24,
    _xlpm.power_w, _xlfn.XLOOKUP(TRIM(D140), Settings!$F$4:$F$101, Settings!$G$4:$G$101, 120),
    _xlpm.rate, Settings!$D$4,
    _xlpm.qty * _xlpm.hours * (_xlpm.power_w / 1000) * _xlpm.rate
)</f>
        <v>1364.1599999999999</v>
      </c>
      <c r="O140" s="2">
        <f>_xlfn.LET(
    _xlpm.qty, C140,
    _xlpm.hours, J140*24,
    _xlpm.price, _xlfn.XLOOKUP(TRIM(D140), Settings!$F$4:$F$101, Settings!$H$4:$H$101, 0),
    _xlpm.life, _xlfn.XLOOKUP(TRIM(D140), Settings!$F$4:$F$101, Settings!$I$4:$I$101, 1),
    _xlpm.qty * _xlpm.hours * (_xlpm.price / _xlpm.life)
)</f>
        <v>263200</v>
      </c>
      <c r="P140" s="2">
        <f>_xlfn.LET(
    _xlpm.qty, C140,
    _xlpm.hours, J140*24,
    _xlpm.price, _xlfn.XLOOKUP(TRIM(D140), Settings!$F$4:$F$101, Settings!$H$4:$H$101, 0),
    _xlpm.life, _xlfn.XLOOKUP(TRIM(D140), Settings!$F$4:$F$101, Settings!$I$4:$I$101, 1),
    _xlpm.pct, _xlfn.XLOOKUP(TRIM(D140), Settings!$F$4:$F$101, Settings!$J$4:$J$101, 0),
    _xlpm.qty * _xlpm.hours * (_xlpm.price / _xlpm.life * _xlpm.pct)
)</f>
        <v>13160</v>
      </c>
      <c r="Q140" s="2">
        <f>Jobs[[#This Row],[Post Pro/h]]*Settings!$D$18</f>
        <v>0</v>
      </c>
      <c r="R140" s="2">
        <f>(Jobs[[#This Row],[power/t]]+Jobs[[#This Row],[Matrial/t]]+Jobs[[#This Row],[downturn/t]]+Jobs[[#This Row],[Maintenance/t]]+Jobs[[#This Row],[Coloring/t]]+Jobs[[#This Row],[Extras]])*Settings!$D$12</f>
        <v>509197.24799999996</v>
      </c>
      <c r="S140" s="2">
        <f>Jobs[[#This Row],[Matrial/t]] + Jobs[[#This Row],[power/t]] + Jobs[[#This Row],[downturn/t]] + Jobs[[#This Row],[Maintenance/t]] + Jobs[[#This Row],[Coloring/t]] + Jobs[[#This Row],[overhead/t]] + Jobs[[#This Row],[Extras]]</f>
        <v>2206521.4079999998</v>
      </c>
      <c r="T140" s="2">
        <f>S140*(1+Settings!$D$5)</f>
        <v>6619564.2239999995</v>
      </c>
      <c r="U140" s="2">
        <f>Jobs[[#This Row],[Sugested Price/t]] - Jobs[[#This Row],[base price/t]]</f>
        <v>4413042.8159999996</v>
      </c>
      <c r="V140" s="3">
        <f>IFERROR(Jobs[[#This Row],[Gross margin/t]] / Jobs[[#This Row],[base price/t]], 0)</f>
        <v>2</v>
      </c>
    </row>
    <row r="141" spans="2:22" x14ac:dyDescent="0.25">
      <c r="B141" s="18" t="s">
        <v>254</v>
      </c>
      <c r="C141" s="18">
        <v>1</v>
      </c>
      <c r="D141" t="s">
        <v>129</v>
      </c>
      <c r="E141" t="s">
        <v>5</v>
      </c>
      <c r="F141" t="s">
        <v>32</v>
      </c>
      <c r="G141" s="1">
        <v>36</v>
      </c>
      <c r="J141" s="37">
        <v>8.3333333333333329E-2</v>
      </c>
      <c r="K141" s="22"/>
      <c r="L141" s="2"/>
      <c r="M141" s="2">
        <f>_xlfn.LET(
    _xlpm.qty, C141,
    _xlpm.weight_g, G141 + H141 + Jobs[[#This Row],[Flushed/g]],
    _xlpm.material, TRIM(E141),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98280</v>
      </c>
      <c r="N141" s="2">
        <f>_xlfn.LET(
    _xlpm.qty, C141,
    _xlpm.hours, J141*24,
    _xlpm.power_w, _xlfn.XLOOKUP(TRIM(D141), Settings!$F$4:$F$101, Settings!$G$4:$G$101, 120),
    _xlpm.rate, Settings!$D$4,
    _xlpm.qty * _xlpm.hours * (_xlpm.power_w / 1000) * _xlpm.rate
)</f>
        <v>194.88</v>
      </c>
      <c r="O141" s="2">
        <f>_xlfn.LET(
    _xlpm.qty, C141,
    _xlpm.hours, J141*24,
    _xlpm.price, _xlfn.XLOOKUP(TRIM(D141), Settings!$F$4:$F$101, Settings!$H$4:$H$101, 0),
    _xlpm.life, _xlfn.XLOOKUP(TRIM(D141), Settings!$F$4:$F$101, Settings!$I$4:$I$101, 1),
    _xlpm.qty * _xlpm.hours * (_xlpm.price / _xlpm.life)
)</f>
        <v>37600</v>
      </c>
      <c r="P141" s="2">
        <f>_xlfn.LET(
    _xlpm.qty, C141,
    _xlpm.hours, J141*24,
    _xlpm.price, _xlfn.XLOOKUP(TRIM(D141), Settings!$F$4:$F$101, Settings!$H$4:$H$101, 0),
    _xlpm.life, _xlfn.XLOOKUP(TRIM(D141), Settings!$F$4:$F$101, Settings!$I$4:$I$101, 1),
    _xlpm.pct, _xlfn.XLOOKUP(TRIM(D141), Settings!$F$4:$F$101, Settings!$J$4:$J$101, 0),
    _xlpm.qty * _xlpm.hours * (_xlpm.price / _xlpm.life * _xlpm.pct)
)</f>
        <v>1880</v>
      </c>
      <c r="Q141" s="2">
        <f>Jobs[[#This Row],[Post Pro/h]]*Settings!$D$18</f>
        <v>0</v>
      </c>
      <c r="R141" s="2">
        <f>(Jobs[[#This Row],[power/t]]+Jobs[[#This Row],[Matrial/t]]+Jobs[[#This Row],[downturn/t]]+Jobs[[#This Row],[Maintenance/t]]+Jobs[[#This Row],[Coloring/t]]+Jobs[[#This Row],[Extras]])*Settings!$D$12</f>
        <v>41386.464</v>
      </c>
      <c r="S141" s="2">
        <f>Jobs[[#This Row],[Matrial/t]] + Jobs[[#This Row],[power/t]] + Jobs[[#This Row],[downturn/t]] + Jobs[[#This Row],[Maintenance/t]] + Jobs[[#This Row],[Coloring/t]] + Jobs[[#This Row],[overhead/t]] + Jobs[[#This Row],[Extras]]</f>
        <v>179341.34400000001</v>
      </c>
      <c r="T141" s="2">
        <f>S141*(1+Settings!$D$5)</f>
        <v>538024.03200000001</v>
      </c>
      <c r="U141" s="2">
        <f>Jobs[[#This Row],[Sugested Price/t]] - Jobs[[#This Row],[base price/t]]</f>
        <v>358682.68799999997</v>
      </c>
      <c r="V141" s="3">
        <f>IFERROR(Jobs[[#This Row],[Gross margin/t]] / Jobs[[#This Row],[base price/t]], 0)</f>
        <v>1.9999999999999998</v>
      </c>
    </row>
    <row r="142" spans="2:22" x14ac:dyDescent="0.25">
      <c r="C142" s="18">
        <v>1</v>
      </c>
      <c r="D142" t="s">
        <v>129</v>
      </c>
      <c r="J142" s="37"/>
      <c r="K142" s="22"/>
      <c r="L142" s="2"/>
      <c r="M142" s="2">
        <f>_xlfn.LET(
    _xlpm.qty, C142,
    _xlpm.weight_g, G142 + H142 + Jobs[[#This Row],[Flushed/g]],
    _xlpm.material, TRIM(E142),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42" s="2">
        <f>_xlfn.LET(
    _xlpm.qty, C142,
    _xlpm.hours, J142*24,
    _xlpm.power_w, _xlfn.XLOOKUP(TRIM(D142), Settings!$F$4:$F$101, Settings!$G$4:$G$101, 120),
    _xlpm.rate, Settings!$D$4,
    _xlpm.qty * _xlpm.hours * (_xlpm.power_w / 1000) * _xlpm.rate
)</f>
        <v>0</v>
      </c>
      <c r="O142" s="2">
        <f>_xlfn.LET(
    _xlpm.qty, C142,
    _xlpm.hours, J142*24,
    _xlpm.price, _xlfn.XLOOKUP(TRIM(D142), Settings!$F$4:$F$101, Settings!$H$4:$H$101, 0),
    _xlpm.life, _xlfn.XLOOKUP(TRIM(D142), Settings!$F$4:$F$101, Settings!$I$4:$I$101, 1),
    _xlpm.qty * _xlpm.hours * (_xlpm.price / _xlpm.life)
)</f>
        <v>0</v>
      </c>
      <c r="P142" s="2">
        <f>_xlfn.LET(
    _xlpm.qty, C142,
    _xlpm.hours, J142*24,
    _xlpm.price, _xlfn.XLOOKUP(TRIM(D142), Settings!$F$4:$F$101, Settings!$H$4:$H$101, 0),
    _xlpm.life, _xlfn.XLOOKUP(TRIM(D142), Settings!$F$4:$F$101, Settings!$I$4:$I$101, 1),
    _xlpm.pct, _xlfn.XLOOKUP(TRIM(D142), Settings!$F$4:$F$101, Settings!$J$4:$J$101, 0),
    _xlpm.qty * _xlpm.hours * (_xlpm.price / _xlpm.life * _xlpm.pct)
)</f>
        <v>0</v>
      </c>
      <c r="Q142" s="2">
        <f>Jobs[[#This Row],[Post Pro/h]]*Settings!$D$18</f>
        <v>0</v>
      </c>
      <c r="R142" s="2">
        <f>(Jobs[[#This Row],[power/t]]+Jobs[[#This Row],[Matrial/t]]+Jobs[[#This Row],[downturn/t]]+Jobs[[#This Row],[Maintenance/t]]+Jobs[[#This Row],[Coloring/t]]+Jobs[[#This Row],[Extras]])*Settings!$D$12</f>
        <v>0</v>
      </c>
      <c r="S142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42" s="2">
        <f>S142*(1+Settings!$D$5)</f>
        <v>0</v>
      </c>
      <c r="U142" s="2">
        <f>Jobs[[#This Row],[Sugested Price/t]] - Jobs[[#This Row],[base price/t]]</f>
        <v>0</v>
      </c>
      <c r="V142" s="3">
        <f>IFERROR(Jobs[[#This Row],[Gross margin/t]] / Jobs[[#This Row],[base price/t]], 0)</f>
        <v>0</v>
      </c>
    </row>
    <row r="143" spans="2:22" x14ac:dyDescent="0.25">
      <c r="C143" s="18">
        <v>1</v>
      </c>
      <c r="D143" t="s">
        <v>129</v>
      </c>
      <c r="J143" s="37"/>
      <c r="K143" s="22"/>
      <c r="L143" s="2"/>
      <c r="M143" s="2">
        <f>_xlfn.LET(
    _xlpm.qty, C143,
    _xlpm.weight_g, G143 + H143 + Jobs[[#This Row],[Flushed/g]],
    _xlpm.material, TRIM(E143),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43" s="2">
        <f>_xlfn.LET(
    _xlpm.qty, C143,
    _xlpm.hours, J143*24,
    _xlpm.power_w, _xlfn.XLOOKUP(TRIM(D143), Settings!$F$4:$F$101, Settings!$G$4:$G$101, 120),
    _xlpm.rate, Settings!$D$4,
    _xlpm.qty * _xlpm.hours * (_xlpm.power_w / 1000) * _xlpm.rate
)</f>
        <v>0</v>
      </c>
      <c r="O143" s="2">
        <f>_xlfn.LET(
    _xlpm.qty, C143,
    _xlpm.hours, J143*24,
    _xlpm.price, _xlfn.XLOOKUP(TRIM(D143), Settings!$F$4:$F$101, Settings!$H$4:$H$101, 0),
    _xlpm.life, _xlfn.XLOOKUP(TRIM(D143), Settings!$F$4:$F$101, Settings!$I$4:$I$101, 1),
    _xlpm.qty * _xlpm.hours * (_xlpm.price / _xlpm.life)
)</f>
        <v>0</v>
      </c>
      <c r="P143" s="2">
        <f>_xlfn.LET(
    _xlpm.qty, C143,
    _xlpm.hours, J143*24,
    _xlpm.price, _xlfn.XLOOKUP(TRIM(D143), Settings!$F$4:$F$101, Settings!$H$4:$H$101, 0),
    _xlpm.life, _xlfn.XLOOKUP(TRIM(D143), Settings!$F$4:$F$101, Settings!$I$4:$I$101, 1),
    _xlpm.pct, _xlfn.XLOOKUP(TRIM(D143), Settings!$F$4:$F$101, Settings!$J$4:$J$101, 0),
    _xlpm.qty * _xlpm.hours * (_xlpm.price / _xlpm.life * _xlpm.pct)
)</f>
        <v>0</v>
      </c>
      <c r="Q143" s="2">
        <f>Jobs[[#This Row],[Post Pro/h]]*Settings!$D$18</f>
        <v>0</v>
      </c>
      <c r="R143" s="2">
        <f>(Jobs[[#This Row],[power/t]]+Jobs[[#This Row],[Matrial/t]]+Jobs[[#This Row],[downturn/t]]+Jobs[[#This Row],[Maintenance/t]]+Jobs[[#This Row],[Coloring/t]]+Jobs[[#This Row],[Extras]])*Settings!$D$12</f>
        <v>0</v>
      </c>
      <c r="S143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43" s="2">
        <f>S143*(1+Settings!$D$5)</f>
        <v>0</v>
      </c>
      <c r="U143" s="2">
        <f>Jobs[[#This Row],[Sugested Price/t]] - Jobs[[#This Row],[base price/t]]</f>
        <v>0</v>
      </c>
      <c r="V143" s="3">
        <f>IFERROR(Jobs[[#This Row],[Gross margin/t]] / Jobs[[#This Row],[base price/t]], 0)</f>
        <v>0</v>
      </c>
    </row>
    <row r="144" spans="2:22" x14ac:dyDescent="0.25">
      <c r="C144" s="18">
        <v>1</v>
      </c>
      <c r="D144" t="s">
        <v>129</v>
      </c>
      <c r="J144" s="37"/>
      <c r="K144" s="22"/>
      <c r="L144" s="2"/>
      <c r="M144" s="2">
        <f>_xlfn.LET(
    _xlpm.qty, C144,
    _xlpm.weight_g, G144 + H144 + Jobs[[#This Row],[Flushed/g]],
    _xlpm.material, TRIM(E144),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44" s="2">
        <f>_xlfn.LET(
    _xlpm.qty, C144,
    _xlpm.hours, J144*24,
    _xlpm.power_w, _xlfn.XLOOKUP(TRIM(D144), Settings!$F$4:$F$101, Settings!$G$4:$G$101, 120),
    _xlpm.rate, Settings!$D$4,
    _xlpm.qty * _xlpm.hours * (_xlpm.power_w / 1000) * _xlpm.rate
)</f>
        <v>0</v>
      </c>
      <c r="O144" s="2">
        <f>_xlfn.LET(
    _xlpm.qty, C144,
    _xlpm.hours, J144*24,
    _xlpm.price, _xlfn.XLOOKUP(TRIM(D144), Settings!$F$4:$F$101, Settings!$H$4:$H$101, 0),
    _xlpm.life, _xlfn.XLOOKUP(TRIM(D144), Settings!$F$4:$F$101, Settings!$I$4:$I$101, 1),
    _xlpm.qty * _xlpm.hours * (_xlpm.price / _xlpm.life)
)</f>
        <v>0</v>
      </c>
      <c r="P144" s="2">
        <f>_xlfn.LET(
    _xlpm.qty, C144,
    _xlpm.hours, J144*24,
    _xlpm.price, _xlfn.XLOOKUP(TRIM(D144), Settings!$F$4:$F$101, Settings!$H$4:$H$101, 0),
    _xlpm.life, _xlfn.XLOOKUP(TRIM(D144), Settings!$F$4:$F$101, Settings!$I$4:$I$101, 1),
    _xlpm.pct, _xlfn.XLOOKUP(TRIM(D144), Settings!$F$4:$F$101, Settings!$J$4:$J$101, 0),
    _xlpm.qty * _xlpm.hours * (_xlpm.price / _xlpm.life * _xlpm.pct)
)</f>
        <v>0</v>
      </c>
      <c r="Q144" s="2">
        <f>Jobs[[#This Row],[Post Pro/h]]*Settings!$D$18</f>
        <v>0</v>
      </c>
      <c r="R144" s="2">
        <f>(Jobs[[#This Row],[power/t]]+Jobs[[#This Row],[Matrial/t]]+Jobs[[#This Row],[downturn/t]]+Jobs[[#This Row],[Maintenance/t]]+Jobs[[#This Row],[Coloring/t]]+Jobs[[#This Row],[Extras]])*Settings!$D$12</f>
        <v>0</v>
      </c>
      <c r="S144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44" s="2">
        <f>S144*(1+Settings!$D$5)</f>
        <v>0</v>
      </c>
      <c r="U144" s="2">
        <f>Jobs[[#This Row],[Sugested Price/t]] - Jobs[[#This Row],[base price/t]]</f>
        <v>0</v>
      </c>
      <c r="V144" s="3">
        <f>IFERROR(Jobs[[#This Row],[Gross margin/t]] / Jobs[[#This Row],[base price/t]], 0)</f>
        <v>0</v>
      </c>
    </row>
    <row r="145" spans="3:22" x14ac:dyDescent="0.25">
      <c r="C145" s="18">
        <v>1</v>
      </c>
      <c r="D145" t="s">
        <v>129</v>
      </c>
      <c r="J145" s="37"/>
      <c r="K145" s="22"/>
      <c r="L145" s="2"/>
      <c r="M145" s="2">
        <f>_xlfn.LET(
    _xlpm.qty, C145,
    _xlpm.weight_g, G145 + H145 + Jobs[[#This Row],[Flushed/g]],
    _xlpm.material, TRIM(E145),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45" s="2">
        <f>_xlfn.LET(
    _xlpm.qty, C145,
    _xlpm.hours, J145*24,
    _xlpm.power_w, _xlfn.XLOOKUP(TRIM(D145), Settings!$F$4:$F$101, Settings!$G$4:$G$101, 120),
    _xlpm.rate, Settings!$D$4,
    _xlpm.qty * _xlpm.hours * (_xlpm.power_w / 1000) * _xlpm.rate
)</f>
        <v>0</v>
      </c>
      <c r="O145" s="2">
        <f>_xlfn.LET(
    _xlpm.qty, C145,
    _xlpm.hours, J145*24,
    _xlpm.price, _xlfn.XLOOKUP(TRIM(D145), Settings!$F$4:$F$101, Settings!$H$4:$H$101, 0),
    _xlpm.life, _xlfn.XLOOKUP(TRIM(D145), Settings!$F$4:$F$101, Settings!$I$4:$I$101, 1),
    _xlpm.qty * _xlpm.hours * (_xlpm.price / _xlpm.life)
)</f>
        <v>0</v>
      </c>
      <c r="P145" s="2">
        <f>_xlfn.LET(
    _xlpm.qty, C145,
    _xlpm.hours, J145*24,
    _xlpm.price, _xlfn.XLOOKUP(TRIM(D145), Settings!$F$4:$F$101, Settings!$H$4:$H$101, 0),
    _xlpm.life, _xlfn.XLOOKUP(TRIM(D145), Settings!$F$4:$F$101, Settings!$I$4:$I$101, 1),
    _xlpm.pct, _xlfn.XLOOKUP(TRIM(D145), Settings!$F$4:$F$101, Settings!$J$4:$J$101, 0),
    _xlpm.qty * _xlpm.hours * (_xlpm.price / _xlpm.life * _xlpm.pct)
)</f>
        <v>0</v>
      </c>
      <c r="Q145" s="2">
        <f>Jobs[[#This Row],[Post Pro/h]]*Settings!$D$18</f>
        <v>0</v>
      </c>
      <c r="R145" s="2">
        <f>(Jobs[[#This Row],[power/t]]+Jobs[[#This Row],[Matrial/t]]+Jobs[[#This Row],[downturn/t]]+Jobs[[#This Row],[Maintenance/t]]+Jobs[[#This Row],[Coloring/t]]+Jobs[[#This Row],[Extras]])*Settings!$D$12</f>
        <v>0</v>
      </c>
      <c r="S145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45" s="2">
        <f>S145*(1+Settings!$D$5)</f>
        <v>0</v>
      </c>
      <c r="U145" s="2">
        <f>Jobs[[#This Row],[Sugested Price/t]] - Jobs[[#This Row],[base price/t]]</f>
        <v>0</v>
      </c>
      <c r="V145" s="3">
        <f>IFERROR(Jobs[[#This Row],[Gross margin/t]] / Jobs[[#This Row],[base price/t]], 0)</f>
        <v>0</v>
      </c>
    </row>
    <row r="146" spans="3:22" x14ac:dyDescent="0.25">
      <c r="C146" s="18">
        <v>1</v>
      </c>
      <c r="D146" t="s">
        <v>129</v>
      </c>
      <c r="J146" s="37"/>
      <c r="K146" s="22"/>
      <c r="L146" s="2"/>
      <c r="M146" s="2">
        <f>_xlfn.LET(
    _xlpm.qty, C146,
    _xlpm.weight_g, G146 + H146 + Jobs[[#This Row],[Flushed/g]],
    _xlpm.material, TRIM(E146),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46" s="2">
        <f>_xlfn.LET(
    _xlpm.qty, C146,
    _xlpm.hours, J146*24,
    _xlpm.power_w, _xlfn.XLOOKUP(TRIM(D146), Settings!$F$4:$F$101, Settings!$G$4:$G$101, 120),
    _xlpm.rate, Settings!$D$4,
    _xlpm.qty * _xlpm.hours * (_xlpm.power_w / 1000) * _xlpm.rate
)</f>
        <v>0</v>
      </c>
      <c r="O146" s="2">
        <f>_xlfn.LET(
    _xlpm.qty, C146,
    _xlpm.hours, J146*24,
    _xlpm.price, _xlfn.XLOOKUP(TRIM(D146), Settings!$F$4:$F$101, Settings!$H$4:$H$101, 0),
    _xlpm.life, _xlfn.XLOOKUP(TRIM(D146), Settings!$F$4:$F$101, Settings!$I$4:$I$101, 1),
    _xlpm.qty * _xlpm.hours * (_xlpm.price / _xlpm.life)
)</f>
        <v>0</v>
      </c>
      <c r="P146" s="2">
        <f>_xlfn.LET(
    _xlpm.qty, C146,
    _xlpm.hours, J146*24,
    _xlpm.price, _xlfn.XLOOKUP(TRIM(D146), Settings!$F$4:$F$101, Settings!$H$4:$H$101, 0),
    _xlpm.life, _xlfn.XLOOKUP(TRIM(D146), Settings!$F$4:$F$101, Settings!$I$4:$I$101, 1),
    _xlpm.pct, _xlfn.XLOOKUP(TRIM(D146), Settings!$F$4:$F$101, Settings!$J$4:$J$101, 0),
    _xlpm.qty * _xlpm.hours * (_xlpm.price / _xlpm.life * _xlpm.pct)
)</f>
        <v>0</v>
      </c>
      <c r="Q146" s="2">
        <f>Jobs[[#This Row],[Post Pro/h]]*Settings!$D$18</f>
        <v>0</v>
      </c>
      <c r="R146" s="2">
        <f>(Jobs[[#This Row],[power/t]]+Jobs[[#This Row],[Matrial/t]]+Jobs[[#This Row],[downturn/t]]+Jobs[[#This Row],[Maintenance/t]]+Jobs[[#This Row],[Coloring/t]]+Jobs[[#This Row],[Extras]])*Settings!$D$12</f>
        <v>0</v>
      </c>
      <c r="S146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46" s="2">
        <f>S146*(1+Settings!$D$5)</f>
        <v>0</v>
      </c>
      <c r="U146" s="2">
        <f>Jobs[[#This Row],[Sugested Price/t]] - Jobs[[#This Row],[base price/t]]</f>
        <v>0</v>
      </c>
      <c r="V146" s="3">
        <f>IFERROR(Jobs[[#This Row],[Gross margin/t]] / Jobs[[#This Row],[base price/t]], 0)</f>
        <v>0</v>
      </c>
    </row>
    <row r="147" spans="3:22" x14ac:dyDescent="0.25">
      <c r="C147" s="18">
        <v>1</v>
      </c>
      <c r="D147" t="s">
        <v>129</v>
      </c>
      <c r="J147" s="37"/>
      <c r="K147" s="22"/>
      <c r="L147" s="2"/>
      <c r="M147" s="2">
        <f>_xlfn.LET(
    _xlpm.qty, C147,
    _xlpm.weight_g, G147 + H147 + Jobs[[#This Row],[Flushed/g]],
    _xlpm.material, TRIM(E147),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47" s="2">
        <f>_xlfn.LET(
    _xlpm.qty, C147,
    _xlpm.hours, J147*24,
    _xlpm.power_w, _xlfn.XLOOKUP(TRIM(D147), Settings!$F$4:$F$101, Settings!$G$4:$G$101, 120),
    _xlpm.rate, Settings!$D$4,
    _xlpm.qty * _xlpm.hours * (_xlpm.power_w / 1000) * _xlpm.rate
)</f>
        <v>0</v>
      </c>
      <c r="O147" s="2">
        <f>_xlfn.LET(
    _xlpm.qty, C147,
    _xlpm.hours, J147*24,
    _xlpm.price, _xlfn.XLOOKUP(TRIM(D147), Settings!$F$4:$F$101, Settings!$H$4:$H$101, 0),
    _xlpm.life, _xlfn.XLOOKUP(TRIM(D147), Settings!$F$4:$F$101, Settings!$I$4:$I$101, 1),
    _xlpm.qty * _xlpm.hours * (_xlpm.price / _xlpm.life)
)</f>
        <v>0</v>
      </c>
      <c r="P147" s="2">
        <f>_xlfn.LET(
    _xlpm.qty, C147,
    _xlpm.hours, J147*24,
    _xlpm.price, _xlfn.XLOOKUP(TRIM(D147), Settings!$F$4:$F$101, Settings!$H$4:$H$101, 0),
    _xlpm.life, _xlfn.XLOOKUP(TRIM(D147), Settings!$F$4:$F$101, Settings!$I$4:$I$101, 1),
    _xlpm.pct, _xlfn.XLOOKUP(TRIM(D147), Settings!$F$4:$F$101, Settings!$J$4:$J$101, 0),
    _xlpm.qty * _xlpm.hours * (_xlpm.price / _xlpm.life * _xlpm.pct)
)</f>
        <v>0</v>
      </c>
      <c r="Q147" s="2">
        <f>Jobs[[#This Row],[Post Pro/h]]*Settings!$D$18</f>
        <v>0</v>
      </c>
      <c r="R147" s="2">
        <f>(Jobs[[#This Row],[power/t]]+Jobs[[#This Row],[Matrial/t]]+Jobs[[#This Row],[downturn/t]]+Jobs[[#This Row],[Maintenance/t]]+Jobs[[#This Row],[Coloring/t]]+Jobs[[#This Row],[Extras]])*Settings!$D$12</f>
        <v>0</v>
      </c>
      <c r="S147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47" s="2">
        <f>S147*(1+Settings!$D$5)</f>
        <v>0</v>
      </c>
      <c r="U147" s="2">
        <f>Jobs[[#This Row],[Sugested Price/t]] - Jobs[[#This Row],[base price/t]]</f>
        <v>0</v>
      </c>
      <c r="V147" s="3">
        <f>IFERROR(Jobs[[#This Row],[Gross margin/t]] / Jobs[[#This Row],[base price/t]], 0)</f>
        <v>0</v>
      </c>
    </row>
    <row r="148" spans="3:22" x14ac:dyDescent="0.25">
      <c r="C148" s="18">
        <v>1</v>
      </c>
      <c r="D148" t="s">
        <v>129</v>
      </c>
      <c r="J148" s="37"/>
      <c r="K148" s="22"/>
      <c r="L148" s="2"/>
      <c r="M148" s="2">
        <f>_xlfn.LET(
    _xlpm.qty, C148,
    _xlpm.weight_g, G148 + H148 + Jobs[[#This Row],[Flushed/g]],
    _xlpm.material, TRIM(E148),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48" s="2">
        <f>_xlfn.LET(
    _xlpm.qty, C148,
    _xlpm.hours, J148*24,
    _xlpm.power_w, _xlfn.XLOOKUP(TRIM(D148), Settings!$F$4:$F$101, Settings!$G$4:$G$101, 120),
    _xlpm.rate, Settings!$D$4,
    _xlpm.qty * _xlpm.hours * (_xlpm.power_w / 1000) * _xlpm.rate
)</f>
        <v>0</v>
      </c>
      <c r="O148" s="2">
        <f>_xlfn.LET(
    _xlpm.qty, C148,
    _xlpm.hours, J148*24,
    _xlpm.price, _xlfn.XLOOKUP(TRIM(D148), Settings!$F$4:$F$101, Settings!$H$4:$H$101, 0),
    _xlpm.life, _xlfn.XLOOKUP(TRIM(D148), Settings!$F$4:$F$101, Settings!$I$4:$I$101, 1),
    _xlpm.qty * _xlpm.hours * (_xlpm.price / _xlpm.life)
)</f>
        <v>0</v>
      </c>
      <c r="P148" s="2">
        <f>_xlfn.LET(
    _xlpm.qty, C148,
    _xlpm.hours, J148*24,
    _xlpm.price, _xlfn.XLOOKUP(TRIM(D148), Settings!$F$4:$F$101, Settings!$H$4:$H$101, 0),
    _xlpm.life, _xlfn.XLOOKUP(TRIM(D148), Settings!$F$4:$F$101, Settings!$I$4:$I$101, 1),
    _xlpm.pct, _xlfn.XLOOKUP(TRIM(D148), Settings!$F$4:$F$101, Settings!$J$4:$J$101, 0),
    _xlpm.qty * _xlpm.hours * (_xlpm.price / _xlpm.life * _xlpm.pct)
)</f>
        <v>0</v>
      </c>
      <c r="Q148" s="2">
        <f>Jobs[[#This Row],[Post Pro/h]]*Settings!$D$18</f>
        <v>0</v>
      </c>
      <c r="R148" s="2">
        <f>(Jobs[[#This Row],[power/t]]+Jobs[[#This Row],[Matrial/t]]+Jobs[[#This Row],[downturn/t]]+Jobs[[#This Row],[Maintenance/t]]+Jobs[[#This Row],[Coloring/t]]+Jobs[[#This Row],[Extras]])*Settings!$D$12</f>
        <v>0</v>
      </c>
      <c r="S148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48" s="2">
        <f>S148*(1+Settings!$D$5)</f>
        <v>0</v>
      </c>
      <c r="U148" s="2">
        <f>Jobs[[#This Row],[Sugested Price/t]] - Jobs[[#This Row],[base price/t]]</f>
        <v>0</v>
      </c>
      <c r="V148" s="3">
        <f>IFERROR(Jobs[[#This Row],[Gross margin/t]] / Jobs[[#This Row],[base price/t]], 0)</f>
        <v>0</v>
      </c>
    </row>
    <row r="149" spans="3:22" x14ac:dyDescent="0.25">
      <c r="C149" s="18">
        <v>1</v>
      </c>
      <c r="D149" t="s">
        <v>129</v>
      </c>
      <c r="J149" s="37"/>
      <c r="K149" s="22"/>
      <c r="L149" s="2"/>
      <c r="M149" s="2">
        <f>_xlfn.LET(
    _xlpm.qty, C149,
    _xlpm.weight_g, G149 + H149 + Jobs[[#This Row],[Flushed/g]],
    _xlpm.material, TRIM(E149),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49" s="2">
        <f>_xlfn.LET(
    _xlpm.qty, C149,
    _xlpm.hours, J149*24,
    _xlpm.power_w, _xlfn.XLOOKUP(TRIM(D149), Settings!$F$4:$F$101, Settings!$G$4:$G$101, 120),
    _xlpm.rate, Settings!$D$4,
    _xlpm.qty * _xlpm.hours * (_xlpm.power_w / 1000) * _xlpm.rate
)</f>
        <v>0</v>
      </c>
      <c r="O149" s="2">
        <f>_xlfn.LET(
    _xlpm.qty, C149,
    _xlpm.hours, J149*24,
    _xlpm.price, _xlfn.XLOOKUP(TRIM(D149), Settings!$F$4:$F$101, Settings!$H$4:$H$101, 0),
    _xlpm.life, _xlfn.XLOOKUP(TRIM(D149), Settings!$F$4:$F$101, Settings!$I$4:$I$101, 1),
    _xlpm.qty * _xlpm.hours * (_xlpm.price / _xlpm.life)
)</f>
        <v>0</v>
      </c>
      <c r="P149" s="2">
        <f>_xlfn.LET(
    _xlpm.qty, C149,
    _xlpm.hours, J149*24,
    _xlpm.price, _xlfn.XLOOKUP(TRIM(D149), Settings!$F$4:$F$101, Settings!$H$4:$H$101, 0),
    _xlpm.life, _xlfn.XLOOKUP(TRIM(D149), Settings!$F$4:$F$101, Settings!$I$4:$I$101, 1),
    _xlpm.pct, _xlfn.XLOOKUP(TRIM(D149), Settings!$F$4:$F$101, Settings!$J$4:$J$101, 0),
    _xlpm.qty * _xlpm.hours * (_xlpm.price / _xlpm.life * _xlpm.pct)
)</f>
        <v>0</v>
      </c>
      <c r="Q149" s="2">
        <f>Jobs[[#This Row],[Post Pro/h]]*Settings!$D$18</f>
        <v>0</v>
      </c>
      <c r="R149" s="2">
        <f>(Jobs[[#This Row],[power/t]]+Jobs[[#This Row],[Matrial/t]]+Jobs[[#This Row],[downturn/t]]+Jobs[[#This Row],[Maintenance/t]]+Jobs[[#This Row],[Coloring/t]]+Jobs[[#This Row],[Extras]])*Settings!$D$12</f>
        <v>0</v>
      </c>
      <c r="S149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49" s="2">
        <f>S149*(1+Settings!$D$5)</f>
        <v>0</v>
      </c>
      <c r="U149" s="2">
        <f>Jobs[[#This Row],[Sugested Price/t]] - Jobs[[#This Row],[base price/t]]</f>
        <v>0</v>
      </c>
      <c r="V149" s="3">
        <f>IFERROR(Jobs[[#This Row],[Gross margin/t]] / Jobs[[#This Row],[base price/t]], 0)</f>
        <v>0</v>
      </c>
    </row>
    <row r="150" spans="3:22" x14ac:dyDescent="0.25">
      <c r="C150" s="18">
        <v>1</v>
      </c>
      <c r="D150" t="s">
        <v>129</v>
      </c>
      <c r="J150" s="37"/>
      <c r="K150" s="22"/>
      <c r="L150" s="2"/>
      <c r="M150" s="2">
        <f>_xlfn.LET(
    _xlpm.qty, C150,
    _xlpm.weight_g, G150 + H150 + Jobs[[#This Row],[Flushed/g]],
    _xlpm.material, TRIM(E150),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50" s="2">
        <f>_xlfn.LET(
    _xlpm.qty, C150,
    _xlpm.hours, J150*24,
    _xlpm.power_w, _xlfn.XLOOKUP(TRIM(D150), Settings!$F$4:$F$101, Settings!$G$4:$G$101, 120),
    _xlpm.rate, Settings!$D$4,
    _xlpm.qty * _xlpm.hours * (_xlpm.power_w / 1000) * _xlpm.rate
)</f>
        <v>0</v>
      </c>
      <c r="O150" s="2">
        <f>_xlfn.LET(
    _xlpm.qty, C150,
    _xlpm.hours, J150*24,
    _xlpm.price, _xlfn.XLOOKUP(TRIM(D150), Settings!$F$4:$F$101, Settings!$H$4:$H$101, 0),
    _xlpm.life, _xlfn.XLOOKUP(TRIM(D150), Settings!$F$4:$F$101, Settings!$I$4:$I$101, 1),
    _xlpm.qty * _xlpm.hours * (_xlpm.price / _xlpm.life)
)</f>
        <v>0</v>
      </c>
      <c r="P150" s="2">
        <f>_xlfn.LET(
    _xlpm.qty, C150,
    _xlpm.hours, J150*24,
    _xlpm.price, _xlfn.XLOOKUP(TRIM(D150), Settings!$F$4:$F$101, Settings!$H$4:$H$101, 0),
    _xlpm.life, _xlfn.XLOOKUP(TRIM(D150), Settings!$F$4:$F$101, Settings!$I$4:$I$101, 1),
    _xlpm.pct, _xlfn.XLOOKUP(TRIM(D150), Settings!$F$4:$F$101, Settings!$J$4:$J$101, 0),
    _xlpm.qty * _xlpm.hours * (_xlpm.price / _xlpm.life * _xlpm.pct)
)</f>
        <v>0</v>
      </c>
      <c r="Q150" s="2">
        <f>Jobs[[#This Row],[Post Pro/h]]*Settings!$D$18</f>
        <v>0</v>
      </c>
      <c r="R150" s="2">
        <f>(Jobs[[#This Row],[power/t]]+Jobs[[#This Row],[Matrial/t]]+Jobs[[#This Row],[downturn/t]]+Jobs[[#This Row],[Maintenance/t]]+Jobs[[#This Row],[Coloring/t]]+Jobs[[#This Row],[Extras]])*Settings!$D$12</f>
        <v>0</v>
      </c>
      <c r="S150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50" s="2">
        <f>S150*(1+Settings!$D$5)</f>
        <v>0</v>
      </c>
      <c r="U150" s="2">
        <f>Jobs[[#This Row],[Sugested Price/t]] - Jobs[[#This Row],[base price/t]]</f>
        <v>0</v>
      </c>
      <c r="V150" s="3">
        <f>IFERROR(Jobs[[#This Row],[Gross margin/t]] / Jobs[[#This Row],[base price/t]], 0)</f>
        <v>0</v>
      </c>
    </row>
    <row r="151" spans="3:22" x14ac:dyDescent="0.25">
      <c r="C151" s="18">
        <v>1</v>
      </c>
      <c r="D151" t="s">
        <v>129</v>
      </c>
      <c r="J151" s="37"/>
      <c r="K151" s="22"/>
      <c r="L151" s="2"/>
      <c r="M151" s="2">
        <f>_xlfn.LET(
    _xlpm.qty, C151,
    _xlpm.weight_g, G151 + H151 + Jobs[[#This Row],[Flushed/g]],
    _xlpm.material, TRIM(E151),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51" s="2">
        <f>_xlfn.LET(
    _xlpm.qty, C151,
    _xlpm.hours, J151*24,
    _xlpm.power_w, _xlfn.XLOOKUP(TRIM(D151), Settings!$F$4:$F$101, Settings!$G$4:$G$101, 120),
    _xlpm.rate, Settings!$D$4,
    _xlpm.qty * _xlpm.hours * (_xlpm.power_w / 1000) * _xlpm.rate
)</f>
        <v>0</v>
      </c>
      <c r="O151" s="2">
        <f>_xlfn.LET(
    _xlpm.qty, C151,
    _xlpm.hours, J151*24,
    _xlpm.price, _xlfn.XLOOKUP(TRIM(D151), Settings!$F$4:$F$101, Settings!$H$4:$H$101, 0),
    _xlpm.life, _xlfn.XLOOKUP(TRIM(D151), Settings!$F$4:$F$101, Settings!$I$4:$I$101, 1),
    _xlpm.qty * _xlpm.hours * (_xlpm.price / _xlpm.life)
)</f>
        <v>0</v>
      </c>
      <c r="P151" s="2">
        <f>_xlfn.LET(
    _xlpm.qty, C151,
    _xlpm.hours, J151*24,
    _xlpm.price, _xlfn.XLOOKUP(TRIM(D151), Settings!$F$4:$F$101, Settings!$H$4:$H$101, 0),
    _xlpm.life, _xlfn.XLOOKUP(TRIM(D151), Settings!$F$4:$F$101, Settings!$I$4:$I$101, 1),
    _xlpm.pct, _xlfn.XLOOKUP(TRIM(D151), Settings!$F$4:$F$101, Settings!$J$4:$J$101, 0),
    _xlpm.qty * _xlpm.hours * (_xlpm.price / _xlpm.life * _xlpm.pct)
)</f>
        <v>0</v>
      </c>
      <c r="Q151" s="2">
        <f>Jobs[[#This Row],[Post Pro/h]]*Settings!$D$18</f>
        <v>0</v>
      </c>
      <c r="R151" s="2">
        <f>(Jobs[[#This Row],[power/t]]+Jobs[[#This Row],[Matrial/t]]+Jobs[[#This Row],[downturn/t]]+Jobs[[#This Row],[Maintenance/t]]+Jobs[[#This Row],[Coloring/t]]+Jobs[[#This Row],[Extras]])*Settings!$D$12</f>
        <v>0</v>
      </c>
      <c r="S151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51" s="2">
        <f>S151*(1+Settings!$D$5)</f>
        <v>0</v>
      </c>
      <c r="U151" s="2">
        <f>Jobs[[#This Row],[Sugested Price/t]] - Jobs[[#This Row],[base price/t]]</f>
        <v>0</v>
      </c>
      <c r="V151" s="3">
        <f>IFERROR(Jobs[[#This Row],[Gross margin/t]] / Jobs[[#This Row],[base price/t]], 0)</f>
        <v>0</v>
      </c>
    </row>
    <row r="152" spans="3:22" x14ac:dyDescent="0.25">
      <c r="C152" s="18">
        <v>1</v>
      </c>
      <c r="D152" t="s">
        <v>129</v>
      </c>
      <c r="J152" s="37"/>
      <c r="K152" s="22"/>
      <c r="L152" s="2"/>
      <c r="M152" s="2">
        <f>_xlfn.LET(
    _xlpm.qty, C152,
    _xlpm.weight_g, G152 + H152 + Jobs[[#This Row],[Flushed/g]],
    _xlpm.material, TRIM(E152),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52" s="2">
        <f>_xlfn.LET(
    _xlpm.qty, C152,
    _xlpm.hours, J152*24,
    _xlpm.power_w, _xlfn.XLOOKUP(TRIM(D152), Settings!$F$4:$F$101, Settings!$G$4:$G$101, 120),
    _xlpm.rate, Settings!$D$4,
    _xlpm.qty * _xlpm.hours * (_xlpm.power_w / 1000) * _xlpm.rate
)</f>
        <v>0</v>
      </c>
      <c r="O152" s="2">
        <f>_xlfn.LET(
    _xlpm.qty, C152,
    _xlpm.hours, J152*24,
    _xlpm.price, _xlfn.XLOOKUP(TRIM(D152), Settings!$F$4:$F$101, Settings!$H$4:$H$101, 0),
    _xlpm.life, _xlfn.XLOOKUP(TRIM(D152), Settings!$F$4:$F$101, Settings!$I$4:$I$101, 1),
    _xlpm.qty * _xlpm.hours * (_xlpm.price / _xlpm.life)
)</f>
        <v>0</v>
      </c>
      <c r="P152" s="2">
        <f>_xlfn.LET(
    _xlpm.qty, C152,
    _xlpm.hours, J152*24,
    _xlpm.price, _xlfn.XLOOKUP(TRIM(D152), Settings!$F$4:$F$101, Settings!$H$4:$H$101, 0),
    _xlpm.life, _xlfn.XLOOKUP(TRIM(D152), Settings!$F$4:$F$101, Settings!$I$4:$I$101, 1),
    _xlpm.pct, _xlfn.XLOOKUP(TRIM(D152), Settings!$F$4:$F$101, Settings!$J$4:$J$101, 0),
    _xlpm.qty * _xlpm.hours * (_xlpm.price / _xlpm.life * _xlpm.pct)
)</f>
        <v>0</v>
      </c>
      <c r="Q152" s="2">
        <f>Jobs[[#This Row],[Post Pro/h]]*Settings!$D$18</f>
        <v>0</v>
      </c>
      <c r="R152" s="2">
        <f>(Jobs[[#This Row],[power/t]]+Jobs[[#This Row],[Matrial/t]]+Jobs[[#This Row],[downturn/t]]+Jobs[[#This Row],[Maintenance/t]]+Jobs[[#This Row],[Coloring/t]]+Jobs[[#This Row],[Extras]])*Settings!$D$12</f>
        <v>0</v>
      </c>
      <c r="S152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52" s="2">
        <f>S152*(1+Settings!$D$5)</f>
        <v>0</v>
      </c>
      <c r="U152" s="2">
        <f>Jobs[[#This Row],[Sugested Price/t]] - Jobs[[#This Row],[base price/t]]</f>
        <v>0</v>
      </c>
      <c r="V152" s="3">
        <f>IFERROR(Jobs[[#This Row],[Gross margin/t]] / Jobs[[#This Row],[base price/t]], 0)</f>
        <v>0</v>
      </c>
    </row>
    <row r="153" spans="3:22" x14ac:dyDescent="0.25">
      <c r="C153" s="18">
        <v>1</v>
      </c>
      <c r="D153" t="s">
        <v>129</v>
      </c>
      <c r="J153" s="37"/>
      <c r="K153" s="22"/>
      <c r="L153" s="2"/>
      <c r="M153" s="2">
        <f>_xlfn.LET(
    _xlpm.qty, C153,
    _xlpm.weight_g, G153 + H153 + Jobs[[#This Row],[Flushed/g]],
    _xlpm.material, TRIM(E153),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53" s="2">
        <f>_xlfn.LET(
    _xlpm.qty, C153,
    _xlpm.hours, J153*24,
    _xlpm.power_w, _xlfn.XLOOKUP(TRIM(D153), Settings!$F$4:$F$101, Settings!$G$4:$G$101, 120),
    _xlpm.rate, Settings!$D$4,
    _xlpm.qty * _xlpm.hours * (_xlpm.power_w / 1000) * _xlpm.rate
)</f>
        <v>0</v>
      </c>
      <c r="O153" s="2">
        <f>_xlfn.LET(
    _xlpm.qty, C153,
    _xlpm.hours, J153*24,
    _xlpm.price, _xlfn.XLOOKUP(TRIM(D153), Settings!$F$4:$F$101, Settings!$H$4:$H$101, 0),
    _xlpm.life, _xlfn.XLOOKUP(TRIM(D153), Settings!$F$4:$F$101, Settings!$I$4:$I$101, 1),
    _xlpm.qty * _xlpm.hours * (_xlpm.price / _xlpm.life)
)</f>
        <v>0</v>
      </c>
      <c r="P153" s="2">
        <f>_xlfn.LET(
    _xlpm.qty, C153,
    _xlpm.hours, J153*24,
    _xlpm.price, _xlfn.XLOOKUP(TRIM(D153), Settings!$F$4:$F$101, Settings!$H$4:$H$101, 0),
    _xlpm.life, _xlfn.XLOOKUP(TRIM(D153), Settings!$F$4:$F$101, Settings!$I$4:$I$101, 1),
    _xlpm.pct, _xlfn.XLOOKUP(TRIM(D153), Settings!$F$4:$F$101, Settings!$J$4:$J$101, 0),
    _xlpm.qty * _xlpm.hours * (_xlpm.price / _xlpm.life * _xlpm.pct)
)</f>
        <v>0</v>
      </c>
      <c r="Q153" s="2">
        <f>Jobs[[#This Row],[Post Pro/h]]*Settings!$D$18</f>
        <v>0</v>
      </c>
      <c r="R153" s="2">
        <f>(Jobs[[#This Row],[power/t]]+Jobs[[#This Row],[Matrial/t]]+Jobs[[#This Row],[downturn/t]]+Jobs[[#This Row],[Maintenance/t]]+Jobs[[#This Row],[Coloring/t]]+Jobs[[#This Row],[Extras]])*Settings!$D$12</f>
        <v>0</v>
      </c>
      <c r="S153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53" s="2">
        <f>S153*(1+Settings!$D$5)</f>
        <v>0</v>
      </c>
      <c r="U153" s="2">
        <f>Jobs[[#This Row],[Sugested Price/t]] - Jobs[[#This Row],[base price/t]]</f>
        <v>0</v>
      </c>
      <c r="V153" s="3">
        <f>IFERROR(Jobs[[#This Row],[Gross margin/t]] / Jobs[[#This Row],[base price/t]], 0)</f>
        <v>0</v>
      </c>
    </row>
    <row r="154" spans="3:22" x14ac:dyDescent="0.25">
      <c r="C154" s="18">
        <v>1</v>
      </c>
      <c r="D154" t="s">
        <v>129</v>
      </c>
      <c r="J154" s="37"/>
      <c r="K154" s="22"/>
      <c r="L154" s="2"/>
      <c r="M154" s="2">
        <f>_xlfn.LET(
    _xlpm.qty, C154,
    _xlpm.weight_g, G154 + H154 + Jobs[[#This Row],[Flushed/g]],
    _xlpm.material, TRIM(E154),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54" s="2">
        <f>_xlfn.LET(
    _xlpm.qty, C154,
    _xlpm.hours, J154*24,
    _xlpm.power_w, _xlfn.XLOOKUP(TRIM(D154), Settings!$F$4:$F$101, Settings!$G$4:$G$101, 120),
    _xlpm.rate, Settings!$D$4,
    _xlpm.qty * _xlpm.hours * (_xlpm.power_w / 1000) * _xlpm.rate
)</f>
        <v>0</v>
      </c>
      <c r="O154" s="2">
        <f>_xlfn.LET(
    _xlpm.qty, C154,
    _xlpm.hours, J154*24,
    _xlpm.price, _xlfn.XLOOKUP(TRIM(D154), Settings!$F$4:$F$101, Settings!$H$4:$H$101, 0),
    _xlpm.life, _xlfn.XLOOKUP(TRIM(D154), Settings!$F$4:$F$101, Settings!$I$4:$I$101, 1),
    _xlpm.qty * _xlpm.hours * (_xlpm.price / _xlpm.life)
)</f>
        <v>0</v>
      </c>
      <c r="P154" s="2">
        <f>_xlfn.LET(
    _xlpm.qty, C154,
    _xlpm.hours, J154*24,
    _xlpm.price, _xlfn.XLOOKUP(TRIM(D154), Settings!$F$4:$F$101, Settings!$H$4:$H$101, 0),
    _xlpm.life, _xlfn.XLOOKUP(TRIM(D154), Settings!$F$4:$F$101, Settings!$I$4:$I$101, 1),
    _xlpm.pct, _xlfn.XLOOKUP(TRIM(D154), Settings!$F$4:$F$101, Settings!$J$4:$J$101, 0),
    _xlpm.qty * _xlpm.hours * (_xlpm.price / _xlpm.life * _xlpm.pct)
)</f>
        <v>0</v>
      </c>
      <c r="Q154" s="2">
        <f>Jobs[[#This Row],[Post Pro/h]]*Settings!$D$18</f>
        <v>0</v>
      </c>
      <c r="R154" s="2">
        <f>(Jobs[[#This Row],[power/t]]+Jobs[[#This Row],[Matrial/t]]+Jobs[[#This Row],[downturn/t]]+Jobs[[#This Row],[Maintenance/t]]+Jobs[[#This Row],[Coloring/t]]+Jobs[[#This Row],[Extras]])*Settings!$D$12</f>
        <v>0</v>
      </c>
      <c r="S154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54" s="2">
        <f>S154*(1+Settings!$D$5)</f>
        <v>0</v>
      </c>
      <c r="U154" s="2">
        <f>Jobs[[#This Row],[Sugested Price/t]] - Jobs[[#This Row],[base price/t]]</f>
        <v>0</v>
      </c>
      <c r="V154" s="3">
        <f>IFERROR(Jobs[[#This Row],[Gross margin/t]] / Jobs[[#This Row],[base price/t]], 0)</f>
        <v>0</v>
      </c>
    </row>
    <row r="155" spans="3:22" x14ac:dyDescent="0.25">
      <c r="C155" s="18">
        <v>1</v>
      </c>
      <c r="D155" t="s">
        <v>129</v>
      </c>
      <c r="J155" s="37"/>
      <c r="K155" s="22"/>
      <c r="L155" s="2"/>
      <c r="M155" s="2">
        <f>_xlfn.LET(
    _xlpm.qty, C155,
    _xlpm.weight_g, G155 + H155 + Jobs[[#This Row],[Flushed/g]],
    _xlpm.material, TRIM(E155),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55" s="2">
        <f>_xlfn.LET(
    _xlpm.qty, C155,
    _xlpm.hours, J155*24,
    _xlpm.power_w, _xlfn.XLOOKUP(TRIM(D155), Settings!$F$4:$F$101, Settings!$G$4:$G$101, 120),
    _xlpm.rate, Settings!$D$4,
    _xlpm.qty * _xlpm.hours * (_xlpm.power_w / 1000) * _xlpm.rate
)</f>
        <v>0</v>
      </c>
      <c r="O155" s="2">
        <f>_xlfn.LET(
    _xlpm.qty, C155,
    _xlpm.hours, J155*24,
    _xlpm.price, _xlfn.XLOOKUP(TRIM(D155), Settings!$F$4:$F$101, Settings!$H$4:$H$101, 0),
    _xlpm.life, _xlfn.XLOOKUP(TRIM(D155), Settings!$F$4:$F$101, Settings!$I$4:$I$101, 1),
    _xlpm.qty * _xlpm.hours * (_xlpm.price / _xlpm.life)
)</f>
        <v>0</v>
      </c>
      <c r="P155" s="2">
        <f>_xlfn.LET(
    _xlpm.qty, C155,
    _xlpm.hours, J155*24,
    _xlpm.price, _xlfn.XLOOKUP(TRIM(D155), Settings!$F$4:$F$101, Settings!$H$4:$H$101, 0),
    _xlpm.life, _xlfn.XLOOKUP(TRIM(D155), Settings!$F$4:$F$101, Settings!$I$4:$I$101, 1),
    _xlpm.pct, _xlfn.XLOOKUP(TRIM(D155), Settings!$F$4:$F$101, Settings!$J$4:$J$101, 0),
    _xlpm.qty * _xlpm.hours * (_xlpm.price / _xlpm.life * _xlpm.pct)
)</f>
        <v>0</v>
      </c>
      <c r="Q155" s="2">
        <f>Jobs[[#This Row],[Post Pro/h]]*Settings!$D$18</f>
        <v>0</v>
      </c>
      <c r="R155" s="2">
        <f>(Jobs[[#This Row],[power/t]]+Jobs[[#This Row],[Matrial/t]]+Jobs[[#This Row],[downturn/t]]+Jobs[[#This Row],[Maintenance/t]]+Jobs[[#This Row],[Coloring/t]]+Jobs[[#This Row],[Extras]])*Settings!$D$12</f>
        <v>0</v>
      </c>
      <c r="S155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55" s="2">
        <f>S155*(1+Settings!$D$5)</f>
        <v>0</v>
      </c>
      <c r="U155" s="2">
        <f>Jobs[[#This Row],[Sugested Price/t]] - Jobs[[#This Row],[base price/t]]</f>
        <v>0</v>
      </c>
      <c r="V155" s="3">
        <f>IFERROR(Jobs[[#This Row],[Gross margin/t]] / Jobs[[#This Row],[base price/t]], 0)</f>
        <v>0</v>
      </c>
    </row>
    <row r="156" spans="3:22" x14ac:dyDescent="0.25">
      <c r="C156" s="18">
        <v>1</v>
      </c>
      <c r="D156" t="s">
        <v>129</v>
      </c>
      <c r="J156" s="37"/>
      <c r="K156" s="22"/>
      <c r="L156" s="2"/>
      <c r="M156" s="2">
        <f>_xlfn.LET(
    _xlpm.qty, C156,
    _xlpm.weight_g, G156 + H156 + Jobs[[#This Row],[Flushed/g]],
    _xlpm.material, TRIM(E156),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56" s="2">
        <f>_xlfn.LET(
    _xlpm.qty, C156,
    _xlpm.hours, J156*24,
    _xlpm.power_w, _xlfn.XLOOKUP(TRIM(D156), Settings!$F$4:$F$101, Settings!$G$4:$G$101, 120),
    _xlpm.rate, Settings!$D$4,
    _xlpm.qty * _xlpm.hours * (_xlpm.power_w / 1000) * _xlpm.rate
)</f>
        <v>0</v>
      </c>
      <c r="O156" s="2">
        <f>_xlfn.LET(
    _xlpm.qty, C156,
    _xlpm.hours, J156*24,
    _xlpm.price, _xlfn.XLOOKUP(TRIM(D156), Settings!$F$4:$F$101, Settings!$H$4:$H$101, 0),
    _xlpm.life, _xlfn.XLOOKUP(TRIM(D156), Settings!$F$4:$F$101, Settings!$I$4:$I$101, 1),
    _xlpm.qty * _xlpm.hours * (_xlpm.price / _xlpm.life)
)</f>
        <v>0</v>
      </c>
      <c r="P156" s="2">
        <f>_xlfn.LET(
    _xlpm.qty, C156,
    _xlpm.hours, J156*24,
    _xlpm.price, _xlfn.XLOOKUP(TRIM(D156), Settings!$F$4:$F$101, Settings!$H$4:$H$101, 0),
    _xlpm.life, _xlfn.XLOOKUP(TRIM(D156), Settings!$F$4:$F$101, Settings!$I$4:$I$101, 1),
    _xlpm.pct, _xlfn.XLOOKUP(TRIM(D156), Settings!$F$4:$F$101, Settings!$J$4:$J$101, 0),
    _xlpm.qty * _xlpm.hours * (_xlpm.price / _xlpm.life * _xlpm.pct)
)</f>
        <v>0</v>
      </c>
      <c r="Q156" s="2">
        <f>Jobs[[#This Row],[Post Pro/h]]*Settings!$D$18</f>
        <v>0</v>
      </c>
      <c r="R156" s="2">
        <f>(Jobs[[#This Row],[power/t]]+Jobs[[#This Row],[Matrial/t]]+Jobs[[#This Row],[downturn/t]]+Jobs[[#This Row],[Maintenance/t]]+Jobs[[#This Row],[Coloring/t]]+Jobs[[#This Row],[Extras]])*Settings!$D$12</f>
        <v>0</v>
      </c>
      <c r="S156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56" s="2">
        <f>S156*(1+Settings!$D$5)</f>
        <v>0</v>
      </c>
      <c r="U156" s="2">
        <f>Jobs[[#This Row],[Sugested Price/t]] - Jobs[[#This Row],[base price/t]]</f>
        <v>0</v>
      </c>
      <c r="V156" s="3">
        <f>IFERROR(Jobs[[#This Row],[Gross margin/t]] / Jobs[[#This Row],[base price/t]], 0)</f>
        <v>0</v>
      </c>
    </row>
    <row r="157" spans="3:22" x14ac:dyDescent="0.25">
      <c r="C157" s="18">
        <v>1</v>
      </c>
      <c r="D157" t="s">
        <v>129</v>
      </c>
      <c r="J157" s="37"/>
      <c r="K157" s="22"/>
      <c r="L157" s="2"/>
      <c r="M157" s="2">
        <f>_xlfn.LET(
    _xlpm.qty, C157,
    _xlpm.weight_g, G157 + H157 + Jobs[[#This Row],[Flushed/g]],
    _xlpm.material, TRIM(E157),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57" s="2">
        <f>_xlfn.LET(
    _xlpm.qty, C157,
    _xlpm.hours, J157*24,
    _xlpm.power_w, _xlfn.XLOOKUP(TRIM(D157), Settings!$F$4:$F$101, Settings!$G$4:$G$101, 120),
    _xlpm.rate, Settings!$D$4,
    _xlpm.qty * _xlpm.hours * (_xlpm.power_w / 1000) * _xlpm.rate
)</f>
        <v>0</v>
      </c>
      <c r="O157" s="2">
        <f>_xlfn.LET(
    _xlpm.qty, C157,
    _xlpm.hours, J157*24,
    _xlpm.price, _xlfn.XLOOKUP(TRIM(D157), Settings!$F$4:$F$101, Settings!$H$4:$H$101, 0),
    _xlpm.life, _xlfn.XLOOKUP(TRIM(D157), Settings!$F$4:$F$101, Settings!$I$4:$I$101, 1),
    _xlpm.qty * _xlpm.hours * (_xlpm.price / _xlpm.life)
)</f>
        <v>0</v>
      </c>
      <c r="P157" s="2">
        <f>_xlfn.LET(
    _xlpm.qty, C157,
    _xlpm.hours, J157*24,
    _xlpm.price, _xlfn.XLOOKUP(TRIM(D157), Settings!$F$4:$F$101, Settings!$H$4:$H$101, 0),
    _xlpm.life, _xlfn.XLOOKUP(TRIM(D157), Settings!$F$4:$F$101, Settings!$I$4:$I$101, 1),
    _xlpm.pct, _xlfn.XLOOKUP(TRIM(D157), Settings!$F$4:$F$101, Settings!$J$4:$J$101, 0),
    _xlpm.qty * _xlpm.hours * (_xlpm.price / _xlpm.life * _xlpm.pct)
)</f>
        <v>0</v>
      </c>
      <c r="Q157" s="2">
        <f>Jobs[[#This Row],[Post Pro/h]]*Settings!$D$18</f>
        <v>0</v>
      </c>
      <c r="R157" s="2">
        <f>(Jobs[[#This Row],[power/t]]+Jobs[[#This Row],[Matrial/t]]+Jobs[[#This Row],[downturn/t]]+Jobs[[#This Row],[Maintenance/t]]+Jobs[[#This Row],[Coloring/t]]+Jobs[[#This Row],[Extras]])*Settings!$D$12</f>
        <v>0</v>
      </c>
      <c r="S157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57" s="2">
        <f>S157*(1+Settings!$D$5)</f>
        <v>0</v>
      </c>
      <c r="U157" s="2">
        <f>Jobs[[#This Row],[Sugested Price/t]] - Jobs[[#This Row],[base price/t]]</f>
        <v>0</v>
      </c>
      <c r="V157" s="3">
        <f>IFERROR(Jobs[[#This Row],[Gross margin/t]] / Jobs[[#This Row],[base price/t]], 0)</f>
        <v>0</v>
      </c>
    </row>
    <row r="158" spans="3:22" x14ac:dyDescent="0.25">
      <c r="C158" s="18">
        <v>1</v>
      </c>
      <c r="D158" t="s">
        <v>129</v>
      </c>
      <c r="J158" s="37"/>
      <c r="K158" s="22"/>
      <c r="L158" s="2"/>
      <c r="M158" s="2">
        <f>_xlfn.LET(
    _xlpm.qty, C158,
    _xlpm.weight_g, G158 + H158 + Jobs[[#This Row],[Flushed/g]],
    _xlpm.material, TRIM(E158),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58" s="2">
        <f>_xlfn.LET(
    _xlpm.qty, C158,
    _xlpm.hours, J158*24,
    _xlpm.power_w, _xlfn.XLOOKUP(TRIM(D158), Settings!$F$4:$F$101, Settings!$G$4:$G$101, 120),
    _xlpm.rate, Settings!$D$4,
    _xlpm.qty * _xlpm.hours * (_xlpm.power_w / 1000) * _xlpm.rate
)</f>
        <v>0</v>
      </c>
      <c r="O158" s="2">
        <f>_xlfn.LET(
    _xlpm.qty, C158,
    _xlpm.hours, J158*24,
    _xlpm.price, _xlfn.XLOOKUP(TRIM(D158), Settings!$F$4:$F$101, Settings!$H$4:$H$101, 0),
    _xlpm.life, _xlfn.XLOOKUP(TRIM(D158), Settings!$F$4:$F$101, Settings!$I$4:$I$101, 1),
    _xlpm.qty * _xlpm.hours * (_xlpm.price / _xlpm.life)
)</f>
        <v>0</v>
      </c>
      <c r="P158" s="2">
        <f>_xlfn.LET(
    _xlpm.qty, C158,
    _xlpm.hours, J158*24,
    _xlpm.price, _xlfn.XLOOKUP(TRIM(D158), Settings!$F$4:$F$101, Settings!$H$4:$H$101, 0),
    _xlpm.life, _xlfn.XLOOKUP(TRIM(D158), Settings!$F$4:$F$101, Settings!$I$4:$I$101, 1),
    _xlpm.pct, _xlfn.XLOOKUP(TRIM(D158), Settings!$F$4:$F$101, Settings!$J$4:$J$101, 0),
    _xlpm.qty * _xlpm.hours * (_xlpm.price / _xlpm.life * _xlpm.pct)
)</f>
        <v>0</v>
      </c>
      <c r="Q158" s="2">
        <f>Jobs[[#This Row],[Post Pro/h]]*Settings!$D$18</f>
        <v>0</v>
      </c>
      <c r="R158" s="2">
        <f>(Jobs[[#This Row],[power/t]]+Jobs[[#This Row],[Matrial/t]]+Jobs[[#This Row],[downturn/t]]+Jobs[[#This Row],[Maintenance/t]]+Jobs[[#This Row],[Coloring/t]]+Jobs[[#This Row],[Extras]])*Settings!$D$12</f>
        <v>0</v>
      </c>
      <c r="S158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58" s="2">
        <f>S158*(1+Settings!$D$5)</f>
        <v>0</v>
      </c>
      <c r="U158" s="2">
        <f>Jobs[[#This Row],[Sugested Price/t]] - Jobs[[#This Row],[base price/t]]</f>
        <v>0</v>
      </c>
      <c r="V158" s="3">
        <f>IFERROR(Jobs[[#This Row],[Gross margin/t]] / Jobs[[#This Row],[base price/t]], 0)</f>
        <v>0</v>
      </c>
    </row>
    <row r="159" spans="3:22" x14ac:dyDescent="0.25">
      <c r="C159" s="18">
        <v>1</v>
      </c>
      <c r="D159" t="s">
        <v>129</v>
      </c>
      <c r="J159" s="37"/>
      <c r="K159" s="22"/>
      <c r="L159" s="2"/>
      <c r="M159" s="2">
        <f>_xlfn.LET(
    _xlpm.qty, C159,
    _xlpm.weight_g, G159 + H159 + Jobs[[#This Row],[Flushed/g]],
    _xlpm.material, TRIM(E159),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59" s="2">
        <f>_xlfn.LET(
    _xlpm.qty, C159,
    _xlpm.hours, J159*24,
    _xlpm.power_w, _xlfn.XLOOKUP(TRIM(D159), Settings!$F$4:$F$101, Settings!$G$4:$G$101, 120),
    _xlpm.rate, Settings!$D$4,
    _xlpm.qty * _xlpm.hours * (_xlpm.power_w / 1000) * _xlpm.rate
)</f>
        <v>0</v>
      </c>
      <c r="O159" s="2">
        <f>_xlfn.LET(
    _xlpm.qty, C159,
    _xlpm.hours, J159*24,
    _xlpm.price, _xlfn.XLOOKUP(TRIM(D159), Settings!$F$4:$F$101, Settings!$H$4:$H$101, 0),
    _xlpm.life, _xlfn.XLOOKUP(TRIM(D159), Settings!$F$4:$F$101, Settings!$I$4:$I$101, 1),
    _xlpm.qty * _xlpm.hours * (_xlpm.price / _xlpm.life)
)</f>
        <v>0</v>
      </c>
      <c r="P159" s="2">
        <f>_xlfn.LET(
    _xlpm.qty, C159,
    _xlpm.hours, J159*24,
    _xlpm.price, _xlfn.XLOOKUP(TRIM(D159), Settings!$F$4:$F$101, Settings!$H$4:$H$101, 0),
    _xlpm.life, _xlfn.XLOOKUP(TRIM(D159), Settings!$F$4:$F$101, Settings!$I$4:$I$101, 1),
    _xlpm.pct, _xlfn.XLOOKUP(TRIM(D159), Settings!$F$4:$F$101, Settings!$J$4:$J$101, 0),
    _xlpm.qty * _xlpm.hours * (_xlpm.price / _xlpm.life * _xlpm.pct)
)</f>
        <v>0</v>
      </c>
      <c r="Q159" s="2">
        <f>Jobs[[#This Row],[Post Pro/h]]*Settings!$D$18</f>
        <v>0</v>
      </c>
      <c r="R159" s="2">
        <f>(Jobs[[#This Row],[power/t]]+Jobs[[#This Row],[Matrial/t]]+Jobs[[#This Row],[downturn/t]]+Jobs[[#This Row],[Maintenance/t]]+Jobs[[#This Row],[Coloring/t]]+Jobs[[#This Row],[Extras]])*Settings!$D$12</f>
        <v>0</v>
      </c>
      <c r="S159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59" s="2">
        <f>S159*(1+Settings!$D$5)</f>
        <v>0</v>
      </c>
      <c r="U159" s="2">
        <f>Jobs[[#This Row],[Sugested Price/t]] - Jobs[[#This Row],[base price/t]]</f>
        <v>0</v>
      </c>
      <c r="V159" s="3">
        <f>IFERROR(Jobs[[#This Row],[Gross margin/t]] / Jobs[[#This Row],[base price/t]], 0)</f>
        <v>0</v>
      </c>
    </row>
    <row r="160" spans="3:22" x14ac:dyDescent="0.25">
      <c r="C160" s="18">
        <v>1</v>
      </c>
      <c r="D160" t="s">
        <v>129</v>
      </c>
      <c r="J160" s="37"/>
      <c r="K160" s="22"/>
      <c r="L160" s="2"/>
      <c r="M160" s="2">
        <f>_xlfn.LET(
    _xlpm.qty, C160,
    _xlpm.weight_g, G160 + H160 + Jobs[[#This Row],[Flushed/g]],
    _xlpm.material, TRIM(E160),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60" s="2">
        <f>_xlfn.LET(
    _xlpm.qty, C160,
    _xlpm.hours, J160*24,
    _xlpm.power_w, _xlfn.XLOOKUP(TRIM(D160), Settings!$F$4:$F$101, Settings!$G$4:$G$101, 120),
    _xlpm.rate, Settings!$D$4,
    _xlpm.qty * _xlpm.hours * (_xlpm.power_w / 1000) * _xlpm.rate
)</f>
        <v>0</v>
      </c>
      <c r="O160" s="2">
        <f>_xlfn.LET(
    _xlpm.qty, C160,
    _xlpm.hours, J160*24,
    _xlpm.price, _xlfn.XLOOKUP(TRIM(D160), Settings!$F$4:$F$101, Settings!$H$4:$H$101, 0),
    _xlpm.life, _xlfn.XLOOKUP(TRIM(D160), Settings!$F$4:$F$101, Settings!$I$4:$I$101, 1),
    _xlpm.qty * _xlpm.hours * (_xlpm.price / _xlpm.life)
)</f>
        <v>0</v>
      </c>
      <c r="P160" s="2">
        <f>_xlfn.LET(
    _xlpm.qty, C160,
    _xlpm.hours, J160*24,
    _xlpm.price, _xlfn.XLOOKUP(TRIM(D160), Settings!$F$4:$F$101, Settings!$H$4:$H$101, 0),
    _xlpm.life, _xlfn.XLOOKUP(TRIM(D160), Settings!$F$4:$F$101, Settings!$I$4:$I$101, 1),
    _xlpm.pct, _xlfn.XLOOKUP(TRIM(D160), Settings!$F$4:$F$101, Settings!$J$4:$J$101, 0),
    _xlpm.qty * _xlpm.hours * (_xlpm.price / _xlpm.life * _xlpm.pct)
)</f>
        <v>0</v>
      </c>
      <c r="Q160" s="2">
        <f>Jobs[[#This Row],[Post Pro/h]]*Settings!$D$18</f>
        <v>0</v>
      </c>
      <c r="R160" s="2">
        <f>(Jobs[[#This Row],[power/t]]+Jobs[[#This Row],[Matrial/t]]+Jobs[[#This Row],[downturn/t]]+Jobs[[#This Row],[Maintenance/t]]+Jobs[[#This Row],[Coloring/t]]+Jobs[[#This Row],[Extras]])*Settings!$D$12</f>
        <v>0</v>
      </c>
      <c r="S160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60" s="2">
        <f>S160*(1+Settings!$D$5)</f>
        <v>0</v>
      </c>
      <c r="U160" s="2">
        <f>Jobs[[#This Row],[Sugested Price/t]] - Jobs[[#This Row],[base price/t]]</f>
        <v>0</v>
      </c>
      <c r="V160" s="3">
        <f>IFERROR(Jobs[[#This Row],[Gross margin/t]] / Jobs[[#This Row],[base price/t]], 0)</f>
        <v>0</v>
      </c>
    </row>
    <row r="161" spans="3:22" x14ac:dyDescent="0.25">
      <c r="C161" s="18">
        <v>1</v>
      </c>
      <c r="D161" t="s">
        <v>129</v>
      </c>
      <c r="J161" s="37"/>
      <c r="K161" s="22"/>
      <c r="L161" s="2"/>
      <c r="M161" s="2">
        <f>_xlfn.LET(
    _xlpm.qty, C161,
    _xlpm.weight_g, G161 + H161 + Jobs[[#This Row],[Flushed/g]],
    _xlpm.material, TRIM(E161),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61" s="2">
        <f>_xlfn.LET(
    _xlpm.qty, C161,
    _xlpm.hours, J161*24,
    _xlpm.power_w, _xlfn.XLOOKUP(TRIM(D161), Settings!$F$4:$F$101, Settings!$G$4:$G$101, 120),
    _xlpm.rate, Settings!$D$4,
    _xlpm.qty * _xlpm.hours * (_xlpm.power_w / 1000) * _xlpm.rate
)</f>
        <v>0</v>
      </c>
      <c r="O161" s="2">
        <f>_xlfn.LET(
    _xlpm.qty, C161,
    _xlpm.hours, J161*24,
    _xlpm.price, _xlfn.XLOOKUP(TRIM(D161), Settings!$F$4:$F$101, Settings!$H$4:$H$101, 0),
    _xlpm.life, _xlfn.XLOOKUP(TRIM(D161), Settings!$F$4:$F$101, Settings!$I$4:$I$101, 1),
    _xlpm.qty * _xlpm.hours * (_xlpm.price / _xlpm.life)
)</f>
        <v>0</v>
      </c>
      <c r="P161" s="2">
        <f>_xlfn.LET(
    _xlpm.qty, C161,
    _xlpm.hours, J161*24,
    _xlpm.price, _xlfn.XLOOKUP(TRIM(D161), Settings!$F$4:$F$101, Settings!$H$4:$H$101, 0),
    _xlpm.life, _xlfn.XLOOKUP(TRIM(D161), Settings!$F$4:$F$101, Settings!$I$4:$I$101, 1),
    _xlpm.pct, _xlfn.XLOOKUP(TRIM(D161), Settings!$F$4:$F$101, Settings!$J$4:$J$101, 0),
    _xlpm.qty * _xlpm.hours * (_xlpm.price / _xlpm.life * _xlpm.pct)
)</f>
        <v>0</v>
      </c>
      <c r="Q161" s="2">
        <f>Jobs[[#This Row],[Post Pro/h]]*Settings!$D$18</f>
        <v>0</v>
      </c>
      <c r="R161" s="2">
        <f>(Jobs[[#This Row],[power/t]]+Jobs[[#This Row],[Matrial/t]]+Jobs[[#This Row],[downturn/t]]+Jobs[[#This Row],[Maintenance/t]]+Jobs[[#This Row],[Coloring/t]]+Jobs[[#This Row],[Extras]])*Settings!$D$12</f>
        <v>0</v>
      </c>
      <c r="S161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61" s="2">
        <f>S161*(1+Settings!$D$5)</f>
        <v>0</v>
      </c>
      <c r="U161" s="2">
        <f>Jobs[[#This Row],[Sugested Price/t]] - Jobs[[#This Row],[base price/t]]</f>
        <v>0</v>
      </c>
      <c r="V161" s="3">
        <f>IFERROR(Jobs[[#This Row],[Gross margin/t]] / Jobs[[#This Row],[base price/t]], 0)</f>
        <v>0</v>
      </c>
    </row>
    <row r="162" spans="3:22" x14ac:dyDescent="0.25">
      <c r="C162" s="18">
        <v>1</v>
      </c>
      <c r="D162" t="s">
        <v>129</v>
      </c>
      <c r="J162" s="37"/>
      <c r="K162" s="22"/>
      <c r="L162" s="2"/>
      <c r="M162" s="2">
        <f>_xlfn.LET(
    _xlpm.qty, C162,
    _xlpm.weight_g, G162 + H162 + Jobs[[#This Row],[Flushed/g]],
    _xlpm.material, TRIM(E162),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62" s="2">
        <f>_xlfn.LET(
    _xlpm.qty, C162,
    _xlpm.hours, J162*24,
    _xlpm.power_w, _xlfn.XLOOKUP(TRIM(D162), Settings!$F$4:$F$101, Settings!$G$4:$G$101, 120),
    _xlpm.rate, Settings!$D$4,
    _xlpm.qty * _xlpm.hours * (_xlpm.power_w / 1000) * _xlpm.rate
)</f>
        <v>0</v>
      </c>
      <c r="O162" s="2">
        <f>_xlfn.LET(
    _xlpm.qty, C162,
    _xlpm.hours, J162*24,
    _xlpm.price, _xlfn.XLOOKUP(TRIM(D162), Settings!$F$4:$F$101, Settings!$H$4:$H$101, 0),
    _xlpm.life, _xlfn.XLOOKUP(TRIM(D162), Settings!$F$4:$F$101, Settings!$I$4:$I$101, 1),
    _xlpm.qty * _xlpm.hours * (_xlpm.price / _xlpm.life)
)</f>
        <v>0</v>
      </c>
      <c r="P162" s="2">
        <f>_xlfn.LET(
    _xlpm.qty, C162,
    _xlpm.hours, J162*24,
    _xlpm.price, _xlfn.XLOOKUP(TRIM(D162), Settings!$F$4:$F$101, Settings!$H$4:$H$101, 0),
    _xlpm.life, _xlfn.XLOOKUP(TRIM(D162), Settings!$F$4:$F$101, Settings!$I$4:$I$101, 1),
    _xlpm.pct, _xlfn.XLOOKUP(TRIM(D162), Settings!$F$4:$F$101, Settings!$J$4:$J$101, 0),
    _xlpm.qty * _xlpm.hours * (_xlpm.price / _xlpm.life * _xlpm.pct)
)</f>
        <v>0</v>
      </c>
      <c r="Q162" s="2">
        <f>Jobs[[#This Row],[Post Pro/h]]*Settings!$D$18</f>
        <v>0</v>
      </c>
      <c r="R162" s="2">
        <f>(Jobs[[#This Row],[power/t]]+Jobs[[#This Row],[Matrial/t]]+Jobs[[#This Row],[downturn/t]]+Jobs[[#This Row],[Maintenance/t]]+Jobs[[#This Row],[Coloring/t]]+Jobs[[#This Row],[Extras]])*Settings!$D$12</f>
        <v>0</v>
      </c>
      <c r="S162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62" s="2">
        <f>S162*(1+Settings!$D$5)</f>
        <v>0</v>
      </c>
      <c r="U162" s="2">
        <f>Jobs[[#This Row],[Sugested Price/t]] - Jobs[[#This Row],[base price/t]]</f>
        <v>0</v>
      </c>
      <c r="V162" s="3">
        <f>IFERROR(Jobs[[#This Row],[Gross margin/t]] / Jobs[[#This Row],[base price/t]], 0)</f>
        <v>0</v>
      </c>
    </row>
    <row r="163" spans="3:22" x14ac:dyDescent="0.25">
      <c r="C163" s="18">
        <v>1</v>
      </c>
      <c r="D163" t="s">
        <v>129</v>
      </c>
      <c r="J163" s="37"/>
      <c r="K163" s="22"/>
      <c r="L163" s="2"/>
      <c r="M163" s="2">
        <f>_xlfn.LET(
    _xlpm.qty, C163,
    _xlpm.weight_g, G163 + H163 + Jobs[[#This Row],[Flushed/g]],
    _xlpm.material, TRIM(E163),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63" s="2">
        <f>_xlfn.LET(
    _xlpm.qty, C163,
    _xlpm.hours, J163*24,
    _xlpm.power_w, _xlfn.XLOOKUP(TRIM(D163), Settings!$F$4:$F$101, Settings!$G$4:$G$101, 120),
    _xlpm.rate, Settings!$D$4,
    _xlpm.qty * _xlpm.hours * (_xlpm.power_w / 1000) * _xlpm.rate
)</f>
        <v>0</v>
      </c>
      <c r="O163" s="2">
        <f>_xlfn.LET(
    _xlpm.qty, C163,
    _xlpm.hours, J163*24,
    _xlpm.price, _xlfn.XLOOKUP(TRIM(D163), Settings!$F$4:$F$101, Settings!$H$4:$H$101, 0),
    _xlpm.life, _xlfn.XLOOKUP(TRIM(D163), Settings!$F$4:$F$101, Settings!$I$4:$I$101, 1),
    _xlpm.qty * _xlpm.hours * (_xlpm.price / _xlpm.life)
)</f>
        <v>0</v>
      </c>
      <c r="P163" s="2">
        <f>_xlfn.LET(
    _xlpm.qty, C163,
    _xlpm.hours, J163*24,
    _xlpm.price, _xlfn.XLOOKUP(TRIM(D163), Settings!$F$4:$F$101, Settings!$H$4:$H$101, 0),
    _xlpm.life, _xlfn.XLOOKUP(TRIM(D163), Settings!$F$4:$F$101, Settings!$I$4:$I$101, 1),
    _xlpm.pct, _xlfn.XLOOKUP(TRIM(D163), Settings!$F$4:$F$101, Settings!$J$4:$J$101, 0),
    _xlpm.qty * _xlpm.hours * (_xlpm.price / _xlpm.life * _xlpm.pct)
)</f>
        <v>0</v>
      </c>
      <c r="Q163" s="2">
        <f>Jobs[[#This Row],[Post Pro/h]]*Settings!$D$18</f>
        <v>0</v>
      </c>
      <c r="R163" s="2">
        <f>(Jobs[[#This Row],[power/t]]+Jobs[[#This Row],[Matrial/t]]+Jobs[[#This Row],[downturn/t]]+Jobs[[#This Row],[Maintenance/t]]+Jobs[[#This Row],[Coloring/t]]+Jobs[[#This Row],[Extras]])*Settings!$D$12</f>
        <v>0</v>
      </c>
      <c r="S163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63" s="2">
        <f>S163*(1+Settings!$D$5)</f>
        <v>0</v>
      </c>
      <c r="U163" s="2">
        <f>Jobs[[#This Row],[Sugested Price/t]] - Jobs[[#This Row],[base price/t]]</f>
        <v>0</v>
      </c>
      <c r="V163" s="3">
        <f>IFERROR(Jobs[[#This Row],[Gross margin/t]] / Jobs[[#This Row],[base price/t]], 0)</f>
        <v>0</v>
      </c>
    </row>
    <row r="164" spans="3:22" x14ac:dyDescent="0.25">
      <c r="C164" s="18">
        <v>1</v>
      </c>
      <c r="D164" t="s">
        <v>129</v>
      </c>
      <c r="J164" s="37"/>
      <c r="K164" s="22"/>
      <c r="L164" s="2"/>
      <c r="M164" s="2">
        <f>_xlfn.LET(
    _xlpm.qty, C164,
    _xlpm.weight_g, G164 + H164 + Jobs[[#This Row],[Flushed/g]],
    _xlpm.material, TRIM(E164),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64" s="2">
        <f>_xlfn.LET(
    _xlpm.qty, C164,
    _xlpm.hours, J164*24,
    _xlpm.power_w, _xlfn.XLOOKUP(TRIM(D164), Settings!$F$4:$F$101, Settings!$G$4:$G$101, 120),
    _xlpm.rate, Settings!$D$4,
    _xlpm.qty * _xlpm.hours * (_xlpm.power_w / 1000) * _xlpm.rate
)</f>
        <v>0</v>
      </c>
      <c r="O164" s="2">
        <f>_xlfn.LET(
    _xlpm.qty, C164,
    _xlpm.hours, J164*24,
    _xlpm.price, _xlfn.XLOOKUP(TRIM(D164), Settings!$F$4:$F$101, Settings!$H$4:$H$101, 0),
    _xlpm.life, _xlfn.XLOOKUP(TRIM(D164), Settings!$F$4:$F$101, Settings!$I$4:$I$101, 1),
    _xlpm.qty * _xlpm.hours * (_xlpm.price / _xlpm.life)
)</f>
        <v>0</v>
      </c>
      <c r="P164" s="2">
        <f>_xlfn.LET(
    _xlpm.qty, C164,
    _xlpm.hours, J164*24,
    _xlpm.price, _xlfn.XLOOKUP(TRIM(D164), Settings!$F$4:$F$101, Settings!$H$4:$H$101, 0),
    _xlpm.life, _xlfn.XLOOKUP(TRIM(D164), Settings!$F$4:$F$101, Settings!$I$4:$I$101, 1),
    _xlpm.pct, _xlfn.XLOOKUP(TRIM(D164), Settings!$F$4:$F$101, Settings!$J$4:$J$101, 0),
    _xlpm.qty * _xlpm.hours * (_xlpm.price / _xlpm.life * _xlpm.pct)
)</f>
        <v>0</v>
      </c>
      <c r="Q164" s="2">
        <f>Jobs[[#This Row],[Post Pro/h]]*Settings!$D$18</f>
        <v>0</v>
      </c>
      <c r="R164" s="2">
        <f>(Jobs[[#This Row],[power/t]]+Jobs[[#This Row],[Matrial/t]]+Jobs[[#This Row],[downturn/t]]+Jobs[[#This Row],[Maintenance/t]]+Jobs[[#This Row],[Coloring/t]]+Jobs[[#This Row],[Extras]])*Settings!$D$12</f>
        <v>0</v>
      </c>
      <c r="S164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64" s="2">
        <f>S164*(1+Settings!$D$5)</f>
        <v>0</v>
      </c>
      <c r="U164" s="2">
        <f>Jobs[[#This Row],[Sugested Price/t]] - Jobs[[#This Row],[base price/t]]</f>
        <v>0</v>
      </c>
      <c r="V164" s="3">
        <f>IFERROR(Jobs[[#This Row],[Gross margin/t]] / Jobs[[#This Row],[base price/t]], 0)</f>
        <v>0</v>
      </c>
    </row>
    <row r="165" spans="3:22" x14ac:dyDescent="0.25">
      <c r="C165" s="18">
        <v>1</v>
      </c>
      <c r="D165" t="s">
        <v>129</v>
      </c>
      <c r="J165" s="37"/>
      <c r="K165" s="22"/>
      <c r="L165" s="2"/>
      <c r="M165" s="2">
        <f>_xlfn.LET(
    _xlpm.qty, C165,
    _xlpm.weight_g, G165 + H165 + Jobs[[#This Row],[Flushed/g]],
    _xlpm.material, TRIM(E165),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65" s="2">
        <f>_xlfn.LET(
    _xlpm.qty, C165,
    _xlpm.hours, J165*24,
    _xlpm.power_w, _xlfn.XLOOKUP(TRIM(D165), Settings!$F$4:$F$101, Settings!$G$4:$G$101, 120),
    _xlpm.rate, Settings!$D$4,
    _xlpm.qty * _xlpm.hours * (_xlpm.power_w / 1000) * _xlpm.rate
)</f>
        <v>0</v>
      </c>
      <c r="O165" s="2">
        <f>_xlfn.LET(
    _xlpm.qty, C165,
    _xlpm.hours, J165*24,
    _xlpm.price, _xlfn.XLOOKUP(TRIM(D165), Settings!$F$4:$F$101, Settings!$H$4:$H$101, 0),
    _xlpm.life, _xlfn.XLOOKUP(TRIM(D165), Settings!$F$4:$F$101, Settings!$I$4:$I$101, 1),
    _xlpm.qty * _xlpm.hours * (_xlpm.price / _xlpm.life)
)</f>
        <v>0</v>
      </c>
      <c r="P165" s="2">
        <f>_xlfn.LET(
    _xlpm.qty, C165,
    _xlpm.hours, J165*24,
    _xlpm.price, _xlfn.XLOOKUP(TRIM(D165), Settings!$F$4:$F$101, Settings!$H$4:$H$101, 0),
    _xlpm.life, _xlfn.XLOOKUP(TRIM(D165), Settings!$F$4:$F$101, Settings!$I$4:$I$101, 1),
    _xlpm.pct, _xlfn.XLOOKUP(TRIM(D165), Settings!$F$4:$F$101, Settings!$J$4:$J$101, 0),
    _xlpm.qty * _xlpm.hours * (_xlpm.price / _xlpm.life * _xlpm.pct)
)</f>
        <v>0</v>
      </c>
      <c r="Q165" s="2">
        <f>Jobs[[#This Row],[Post Pro/h]]*Settings!$D$18</f>
        <v>0</v>
      </c>
      <c r="R165" s="2">
        <f>(Jobs[[#This Row],[power/t]]+Jobs[[#This Row],[Matrial/t]]+Jobs[[#This Row],[downturn/t]]+Jobs[[#This Row],[Maintenance/t]]+Jobs[[#This Row],[Coloring/t]]+Jobs[[#This Row],[Extras]])*Settings!$D$12</f>
        <v>0</v>
      </c>
      <c r="S165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65" s="2">
        <f>S165*(1+Settings!$D$5)</f>
        <v>0</v>
      </c>
      <c r="U165" s="2">
        <f>Jobs[[#This Row],[Sugested Price/t]] - Jobs[[#This Row],[base price/t]]</f>
        <v>0</v>
      </c>
      <c r="V165" s="3">
        <f>IFERROR(Jobs[[#This Row],[Gross margin/t]] / Jobs[[#This Row],[base price/t]], 0)</f>
        <v>0</v>
      </c>
    </row>
    <row r="166" spans="3:22" x14ac:dyDescent="0.25">
      <c r="C166" s="18">
        <v>1</v>
      </c>
      <c r="D166" t="s">
        <v>129</v>
      </c>
      <c r="J166" s="37"/>
      <c r="K166" s="22"/>
      <c r="L166" s="2"/>
      <c r="M166" s="2">
        <f>_xlfn.LET(
    _xlpm.qty, C166,
    _xlpm.weight_g, G166 + H166 + Jobs[[#This Row],[Flushed/g]],
    _xlpm.material, TRIM(E166),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66" s="2">
        <f>_xlfn.LET(
    _xlpm.qty, C166,
    _xlpm.hours, J166*24,
    _xlpm.power_w, _xlfn.XLOOKUP(TRIM(D166), Settings!$F$4:$F$101, Settings!$G$4:$G$101, 120),
    _xlpm.rate, Settings!$D$4,
    _xlpm.qty * _xlpm.hours * (_xlpm.power_w / 1000) * _xlpm.rate
)</f>
        <v>0</v>
      </c>
      <c r="O166" s="2">
        <f>_xlfn.LET(
    _xlpm.qty, C166,
    _xlpm.hours, J166*24,
    _xlpm.price, _xlfn.XLOOKUP(TRIM(D166), Settings!$F$4:$F$101, Settings!$H$4:$H$101, 0),
    _xlpm.life, _xlfn.XLOOKUP(TRIM(D166), Settings!$F$4:$F$101, Settings!$I$4:$I$101, 1),
    _xlpm.qty * _xlpm.hours * (_xlpm.price / _xlpm.life)
)</f>
        <v>0</v>
      </c>
      <c r="P166" s="2">
        <f>_xlfn.LET(
    _xlpm.qty, C166,
    _xlpm.hours, J166*24,
    _xlpm.price, _xlfn.XLOOKUP(TRIM(D166), Settings!$F$4:$F$101, Settings!$H$4:$H$101, 0),
    _xlpm.life, _xlfn.XLOOKUP(TRIM(D166), Settings!$F$4:$F$101, Settings!$I$4:$I$101, 1),
    _xlpm.pct, _xlfn.XLOOKUP(TRIM(D166), Settings!$F$4:$F$101, Settings!$J$4:$J$101, 0),
    _xlpm.qty * _xlpm.hours * (_xlpm.price / _xlpm.life * _xlpm.pct)
)</f>
        <v>0</v>
      </c>
      <c r="Q166" s="2">
        <f>Jobs[[#This Row],[Post Pro/h]]*Settings!$D$18</f>
        <v>0</v>
      </c>
      <c r="R166" s="2">
        <f>(Jobs[[#This Row],[power/t]]+Jobs[[#This Row],[Matrial/t]]+Jobs[[#This Row],[downturn/t]]+Jobs[[#This Row],[Maintenance/t]]+Jobs[[#This Row],[Coloring/t]]+Jobs[[#This Row],[Extras]])*Settings!$D$12</f>
        <v>0</v>
      </c>
      <c r="S166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66" s="2">
        <f>S166*(1+Settings!$D$5)</f>
        <v>0</v>
      </c>
      <c r="U166" s="2">
        <f>Jobs[[#This Row],[Sugested Price/t]] - Jobs[[#This Row],[base price/t]]</f>
        <v>0</v>
      </c>
      <c r="V166" s="3">
        <f>IFERROR(Jobs[[#This Row],[Gross margin/t]] / Jobs[[#This Row],[base price/t]], 0)</f>
        <v>0</v>
      </c>
    </row>
    <row r="167" spans="3:22" x14ac:dyDescent="0.25">
      <c r="C167" s="18">
        <v>1</v>
      </c>
      <c r="D167" t="s">
        <v>129</v>
      </c>
      <c r="J167" s="37"/>
      <c r="K167" s="22"/>
      <c r="L167" s="2"/>
      <c r="M167" s="2">
        <f>_xlfn.LET(
    _xlpm.qty, C167,
    _xlpm.weight_g, G167 + H167 + Jobs[[#This Row],[Flushed/g]],
    _xlpm.material, TRIM(E167),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67" s="2">
        <f>_xlfn.LET(
    _xlpm.qty, C167,
    _xlpm.hours, J167*24,
    _xlpm.power_w, _xlfn.XLOOKUP(TRIM(D167), Settings!$F$4:$F$101, Settings!$G$4:$G$101, 120),
    _xlpm.rate, Settings!$D$4,
    _xlpm.qty * _xlpm.hours * (_xlpm.power_w / 1000) * _xlpm.rate
)</f>
        <v>0</v>
      </c>
      <c r="O167" s="2">
        <f>_xlfn.LET(
    _xlpm.qty, C167,
    _xlpm.hours, J167*24,
    _xlpm.price, _xlfn.XLOOKUP(TRIM(D167), Settings!$F$4:$F$101, Settings!$H$4:$H$101, 0),
    _xlpm.life, _xlfn.XLOOKUP(TRIM(D167), Settings!$F$4:$F$101, Settings!$I$4:$I$101, 1),
    _xlpm.qty * _xlpm.hours * (_xlpm.price / _xlpm.life)
)</f>
        <v>0</v>
      </c>
      <c r="P167" s="2">
        <f>_xlfn.LET(
    _xlpm.qty, C167,
    _xlpm.hours, J167*24,
    _xlpm.price, _xlfn.XLOOKUP(TRIM(D167), Settings!$F$4:$F$101, Settings!$H$4:$H$101, 0),
    _xlpm.life, _xlfn.XLOOKUP(TRIM(D167), Settings!$F$4:$F$101, Settings!$I$4:$I$101, 1),
    _xlpm.pct, _xlfn.XLOOKUP(TRIM(D167), Settings!$F$4:$F$101, Settings!$J$4:$J$101, 0),
    _xlpm.qty * _xlpm.hours * (_xlpm.price / _xlpm.life * _xlpm.pct)
)</f>
        <v>0</v>
      </c>
      <c r="Q167" s="2">
        <f>Jobs[[#This Row],[Post Pro/h]]*Settings!$D$18</f>
        <v>0</v>
      </c>
      <c r="R167" s="2">
        <f>(Jobs[[#This Row],[power/t]]+Jobs[[#This Row],[Matrial/t]]+Jobs[[#This Row],[downturn/t]]+Jobs[[#This Row],[Maintenance/t]]+Jobs[[#This Row],[Coloring/t]]+Jobs[[#This Row],[Extras]])*Settings!$D$12</f>
        <v>0</v>
      </c>
      <c r="S167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67" s="2">
        <f>S167*(1+Settings!$D$5)</f>
        <v>0</v>
      </c>
      <c r="U167" s="2">
        <f>Jobs[[#This Row],[Sugested Price/t]] - Jobs[[#This Row],[base price/t]]</f>
        <v>0</v>
      </c>
      <c r="V167" s="3">
        <f>IFERROR(Jobs[[#This Row],[Gross margin/t]] / Jobs[[#This Row],[base price/t]], 0)</f>
        <v>0</v>
      </c>
    </row>
    <row r="168" spans="3:22" x14ac:dyDescent="0.25">
      <c r="C168" s="18">
        <v>1</v>
      </c>
      <c r="D168" t="s">
        <v>129</v>
      </c>
      <c r="J168" s="37"/>
      <c r="K168" s="22"/>
      <c r="L168" s="2"/>
      <c r="M168" s="2">
        <f>_xlfn.LET(
    _xlpm.qty, C168,
    _xlpm.weight_g, G168 + H168 + Jobs[[#This Row],[Flushed/g]],
    _xlpm.material, TRIM(E168),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68" s="2">
        <f>_xlfn.LET(
    _xlpm.qty, C168,
    _xlpm.hours, J168*24,
    _xlpm.power_w, _xlfn.XLOOKUP(TRIM(D168), Settings!$F$4:$F$101, Settings!$G$4:$G$101, 120),
    _xlpm.rate, Settings!$D$4,
    _xlpm.qty * _xlpm.hours * (_xlpm.power_w / 1000) * _xlpm.rate
)</f>
        <v>0</v>
      </c>
      <c r="O168" s="2">
        <f>_xlfn.LET(
    _xlpm.qty, C168,
    _xlpm.hours, J168*24,
    _xlpm.price, _xlfn.XLOOKUP(TRIM(D168), Settings!$F$4:$F$101, Settings!$H$4:$H$101, 0),
    _xlpm.life, _xlfn.XLOOKUP(TRIM(D168), Settings!$F$4:$F$101, Settings!$I$4:$I$101, 1),
    _xlpm.qty * _xlpm.hours * (_xlpm.price / _xlpm.life)
)</f>
        <v>0</v>
      </c>
      <c r="P168" s="2">
        <f>_xlfn.LET(
    _xlpm.qty, C168,
    _xlpm.hours, J168*24,
    _xlpm.price, _xlfn.XLOOKUP(TRIM(D168), Settings!$F$4:$F$101, Settings!$H$4:$H$101, 0),
    _xlpm.life, _xlfn.XLOOKUP(TRIM(D168), Settings!$F$4:$F$101, Settings!$I$4:$I$101, 1),
    _xlpm.pct, _xlfn.XLOOKUP(TRIM(D168), Settings!$F$4:$F$101, Settings!$J$4:$J$101, 0),
    _xlpm.qty * _xlpm.hours * (_xlpm.price / _xlpm.life * _xlpm.pct)
)</f>
        <v>0</v>
      </c>
      <c r="Q168" s="2">
        <f>Jobs[[#This Row],[Post Pro/h]]*Settings!$D$18</f>
        <v>0</v>
      </c>
      <c r="R168" s="2">
        <f>(Jobs[[#This Row],[power/t]]+Jobs[[#This Row],[Matrial/t]]+Jobs[[#This Row],[downturn/t]]+Jobs[[#This Row],[Maintenance/t]]+Jobs[[#This Row],[Coloring/t]]+Jobs[[#This Row],[Extras]])*Settings!$D$12</f>
        <v>0</v>
      </c>
      <c r="S168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68" s="2">
        <f>S168*(1+Settings!$D$5)</f>
        <v>0</v>
      </c>
      <c r="U168" s="2">
        <f>Jobs[[#This Row],[Sugested Price/t]] - Jobs[[#This Row],[base price/t]]</f>
        <v>0</v>
      </c>
      <c r="V168" s="3">
        <f>IFERROR(Jobs[[#This Row],[Gross margin/t]] / Jobs[[#This Row],[base price/t]], 0)</f>
        <v>0</v>
      </c>
    </row>
    <row r="169" spans="3:22" x14ac:dyDescent="0.25">
      <c r="C169" s="18">
        <v>1</v>
      </c>
      <c r="D169" t="s">
        <v>129</v>
      </c>
      <c r="J169" s="37"/>
      <c r="K169" s="22"/>
      <c r="L169" s="2"/>
      <c r="M169" s="2">
        <f>_xlfn.LET(
    _xlpm.qty, C169,
    _xlpm.weight_g, G169 + H169 + Jobs[[#This Row],[Flushed/g]],
    _xlpm.material, TRIM(E169),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69" s="2">
        <f>_xlfn.LET(
    _xlpm.qty, C169,
    _xlpm.hours, J169*24,
    _xlpm.power_w, _xlfn.XLOOKUP(TRIM(D169), Settings!$F$4:$F$101, Settings!$G$4:$G$101, 120),
    _xlpm.rate, Settings!$D$4,
    _xlpm.qty * _xlpm.hours * (_xlpm.power_w / 1000) * _xlpm.rate
)</f>
        <v>0</v>
      </c>
      <c r="O169" s="2">
        <f>_xlfn.LET(
    _xlpm.qty, C169,
    _xlpm.hours, J169*24,
    _xlpm.price, _xlfn.XLOOKUP(TRIM(D169), Settings!$F$4:$F$101, Settings!$H$4:$H$101, 0),
    _xlpm.life, _xlfn.XLOOKUP(TRIM(D169), Settings!$F$4:$F$101, Settings!$I$4:$I$101, 1),
    _xlpm.qty * _xlpm.hours * (_xlpm.price / _xlpm.life)
)</f>
        <v>0</v>
      </c>
      <c r="P169" s="2">
        <f>_xlfn.LET(
    _xlpm.qty, C169,
    _xlpm.hours, J169*24,
    _xlpm.price, _xlfn.XLOOKUP(TRIM(D169), Settings!$F$4:$F$101, Settings!$H$4:$H$101, 0),
    _xlpm.life, _xlfn.XLOOKUP(TRIM(D169), Settings!$F$4:$F$101, Settings!$I$4:$I$101, 1),
    _xlpm.pct, _xlfn.XLOOKUP(TRIM(D169), Settings!$F$4:$F$101, Settings!$J$4:$J$101, 0),
    _xlpm.qty * _xlpm.hours * (_xlpm.price / _xlpm.life * _xlpm.pct)
)</f>
        <v>0</v>
      </c>
      <c r="Q169" s="2">
        <f>Jobs[[#This Row],[Post Pro/h]]*Settings!$D$18</f>
        <v>0</v>
      </c>
      <c r="R169" s="2">
        <f>(Jobs[[#This Row],[power/t]]+Jobs[[#This Row],[Matrial/t]]+Jobs[[#This Row],[downturn/t]]+Jobs[[#This Row],[Maintenance/t]]+Jobs[[#This Row],[Coloring/t]]+Jobs[[#This Row],[Extras]])*Settings!$D$12</f>
        <v>0</v>
      </c>
      <c r="S169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69" s="2">
        <f>S169*(1+Settings!$D$5)</f>
        <v>0</v>
      </c>
      <c r="U169" s="2">
        <f>Jobs[[#This Row],[Sugested Price/t]] - Jobs[[#This Row],[base price/t]]</f>
        <v>0</v>
      </c>
      <c r="V169" s="3">
        <f>IFERROR(Jobs[[#This Row],[Gross margin/t]] / Jobs[[#This Row],[base price/t]], 0)</f>
        <v>0</v>
      </c>
    </row>
    <row r="170" spans="3:22" x14ac:dyDescent="0.25">
      <c r="C170" s="18">
        <v>1</v>
      </c>
      <c r="D170" t="s">
        <v>129</v>
      </c>
      <c r="J170" s="37"/>
      <c r="K170" s="22"/>
      <c r="L170" s="2"/>
      <c r="M170" s="2">
        <f>_xlfn.LET(
    _xlpm.qty, C170,
    _xlpm.weight_g, G170 + H170 + Jobs[[#This Row],[Flushed/g]],
    _xlpm.material, TRIM(E170),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70" s="2">
        <f>_xlfn.LET(
    _xlpm.qty, C170,
    _xlpm.hours, J170*24,
    _xlpm.power_w, _xlfn.XLOOKUP(TRIM(D170), Settings!$F$4:$F$101, Settings!$G$4:$G$101, 120),
    _xlpm.rate, Settings!$D$4,
    _xlpm.qty * _xlpm.hours * (_xlpm.power_w / 1000) * _xlpm.rate
)</f>
        <v>0</v>
      </c>
      <c r="O170" s="2">
        <f>_xlfn.LET(
    _xlpm.qty, C170,
    _xlpm.hours, J170*24,
    _xlpm.price, _xlfn.XLOOKUP(TRIM(D170), Settings!$F$4:$F$101, Settings!$H$4:$H$101, 0),
    _xlpm.life, _xlfn.XLOOKUP(TRIM(D170), Settings!$F$4:$F$101, Settings!$I$4:$I$101, 1),
    _xlpm.qty * _xlpm.hours * (_xlpm.price / _xlpm.life)
)</f>
        <v>0</v>
      </c>
      <c r="P170" s="2">
        <f>_xlfn.LET(
    _xlpm.qty, C170,
    _xlpm.hours, J170*24,
    _xlpm.price, _xlfn.XLOOKUP(TRIM(D170), Settings!$F$4:$F$101, Settings!$H$4:$H$101, 0),
    _xlpm.life, _xlfn.XLOOKUP(TRIM(D170), Settings!$F$4:$F$101, Settings!$I$4:$I$101, 1),
    _xlpm.pct, _xlfn.XLOOKUP(TRIM(D170), Settings!$F$4:$F$101, Settings!$J$4:$J$101, 0),
    _xlpm.qty * _xlpm.hours * (_xlpm.price / _xlpm.life * _xlpm.pct)
)</f>
        <v>0</v>
      </c>
      <c r="Q170" s="2">
        <f>Jobs[[#This Row],[Post Pro/h]]*Settings!$D$18</f>
        <v>0</v>
      </c>
      <c r="R170" s="2">
        <f>(Jobs[[#This Row],[power/t]]+Jobs[[#This Row],[Matrial/t]]+Jobs[[#This Row],[downturn/t]]+Jobs[[#This Row],[Maintenance/t]]+Jobs[[#This Row],[Coloring/t]]+Jobs[[#This Row],[Extras]])*Settings!$D$12</f>
        <v>0</v>
      </c>
      <c r="S170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70" s="2">
        <f>S170*(1+Settings!$D$5)</f>
        <v>0</v>
      </c>
      <c r="U170" s="2">
        <f>Jobs[[#This Row],[Sugested Price/t]] - Jobs[[#This Row],[base price/t]]</f>
        <v>0</v>
      </c>
      <c r="V170" s="3">
        <f>IFERROR(Jobs[[#This Row],[Gross margin/t]] / Jobs[[#This Row],[base price/t]], 0)</f>
        <v>0</v>
      </c>
    </row>
    <row r="171" spans="3:22" x14ac:dyDescent="0.25">
      <c r="C171" s="18">
        <v>1</v>
      </c>
      <c r="D171" t="s">
        <v>129</v>
      </c>
      <c r="J171" s="37"/>
      <c r="K171" s="22"/>
      <c r="L171" s="2"/>
      <c r="M171" s="2">
        <f>_xlfn.LET(
    _xlpm.qty, C171,
    _xlpm.weight_g, G171 + H171 + Jobs[[#This Row],[Flushed/g]],
    _xlpm.material, TRIM(E171),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71" s="2">
        <f>_xlfn.LET(
    _xlpm.qty, C171,
    _xlpm.hours, J171*24,
    _xlpm.power_w, _xlfn.XLOOKUP(TRIM(D171), Settings!$F$4:$F$101, Settings!$G$4:$G$101, 120),
    _xlpm.rate, Settings!$D$4,
    _xlpm.qty * _xlpm.hours * (_xlpm.power_w / 1000) * _xlpm.rate
)</f>
        <v>0</v>
      </c>
      <c r="O171" s="2">
        <f>_xlfn.LET(
    _xlpm.qty, C171,
    _xlpm.hours, J171*24,
    _xlpm.price, _xlfn.XLOOKUP(TRIM(D171), Settings!$F$4:$F$101, Settings!$H$4:$H$101, 0),
    _xlpm.life, _xlfn.XLOOKUP(TRIM(D171), Settings!$F$4:$F$101, Settings!$I$4:$I$101, 1),
    _xlpm.qty * _xlpm.hours * (_xlpm.price / _xlpm.life)
)</f>
        <v>0</v>
      </c>
      <c r="P171" s="2">
        <f>_xlfn.LET(
    _xlpm.qty, C171,
    _xlpm.hours, J171*24,
    _xlpm.price, _xlfn.XLOOKUP(TRIM(D171), Settings!$F$4:$F$101, Settings!$H$4:$H$101, 0),
    _xlpm.life, _xlfn.XLOOKUP(TRIM(D171), Settings!$F$4:$F$101, Settings!$I$4:$I$101, 1),
    _xlpm.pct, _xlfn.XLOOKUP(TRIM(D171), Settings!$F$4:$F$101, Settings!$J$4:$J$101, 0),
    _xlpm.qty * _xlpm.hours * (_xlpm.price / _xlpm.life * _xlpm.pct)
)</f>
        <v>0</v>
      </c>
      <c r="Q171" s="2">
        <f>Jobs[[#This Row],[Post Pro/h]]*Settings!$D$18</f>
        <v>0</v>
      </c>
      <c r="R171" s="2">
        <f>(Jobs[[#This Row],[power/t]]+Jobs[[#This Row],[Matrial/t]]+Jobs[[#This Row],[downturn/t]]+Jobs[[#This Row],[Maintenance/t]]+Jobs[[#This Row],[Coloring/t]]+Jobs[[#This Row],[Extras]])*Settings!$D$12</f>
        <v>0</v>
      </c>
      <c r="S171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71" s="2">
        <f>S171*(1+Settings!$D$5)</f>
        <v>0</v>
      </c>
      <c r="U171" s="2">
        <f>Jobs[[#This Row],[Sugested Price/t]] - Jobs[[#This Row],[base price/t]]</f>
        <v>0</v>
      </c>
      <c r="V171" s="3">
        <f>IFERROR(Jobs[[#This Row],[Gross margin/t]] / Jobs[[#This Row],[base price/t]], 0)</f>
        <v>0</v>
      </c>
    </row>
    <row r="172" spans="3:22" x14ac:dyDescent="0.25">
      <c r="C172" s="18">
        <v>1</v>
      </c>
      <c r="D172" t="s">
        <v>129</v>
      </c>
      <c r="J172" s="37"/>
      <c r="K172" s="22"/>
      <c r="L172" s="2"/>
      <c r="M172" s="2">
        <f>_xlfn.LET(
    _xlpm.qty, C172,
    _xlpm.weight_g, G172 + H172 + Jobs[[#This Row],[Flushed/g]],
    _xlpm.material, TRIM(E172),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72" s="2">
        <f>_xlfn.LET(
    _xlpm.qty, C172,
    _xlpm.hours, J172*24,
    _xlpm.power_w, _xlfn.XLOOKUP(TRIM(D172), Settings!$F$4:$F$101, Settings!$G$4:$G$101, 120),
    _xlpm.rate, Settings!$D$4,
    _xlpm.qty * _xlpm.hours * (_xlpm.power_w / 1000) * _xlpm.rate
)</f>
        <v>0</v>
      </c>
      <c r="O172" s="2">
        <f>_xlfn.LET(
    _xlpm.qty, C172,
    _xlpm.hours, J172*24,
    _xlpm.price, _xlfn.XLOOKUP(TRIM(D172), Settings!$F$4:$F$101, Settings!$H$4:$H$101, 0),
    _xlpm.life, _xlfn.XLOOKUP(TRIM(D172), Settings!$F$4:$F$101, Settings!$I$4:$I$101, 1),
    _xlpm.qty * _xlpm.hours * (_xlpm.price / _xlpm.life)
)</f>
        <v>0</v>
      </c>
      <c r="P172" s="2">
        <f>_xlfn.LET(
    _xlpm.qty, C172,
    _xlpm.hours, J172*24,
    _xlpm.price, _xlfn.XLOOKUP(TRIM(D172), Settings!$F$4:$F$101, Settings!$H$4:$H$101, 0),
    _xlpm.life, _xlfn.XLOOKUP(TRIM(D172), Settings!$F$4:$F$101, Settings!$I$4:$I$101, 1),
    _xlpm.pct, _xlfn.XLOOKUP(TRIM(D172), Settings!$F$4:$F$101, Settings!$J$4:$J$101, 0),
    _xlpm.qty * _xlpm.hours * (_xlpm.price / _xlpm.life * _xlpm.pct)
)</f>
        <v>0</v>
      </c>
      <c r="Q172" s="2">
        <f>Jobs[[#This Row],[Post Pro/h]]*Settings!$D$18</f>
        <v>0</v>
      </c>
      <c r="R172" s="2">
        <f>(Jobs[[#This Row],[power/t]]+Jobs[[#This Row],[Matrial/t]]+Jobs[[#This Row],[downturn/t]]+Jobs[[#This Row],[Maintenance/t]]+Jobs[[#This Row],[Coloring/t]]+Jobs[[#This Row],[Extras]])*Settings!$D$12</f>
        <v>0</v>
      </c>
      <c r="S172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72" s="2">
        <f>S172*(1+Settings!$D$5)</f>
        <v>0</v>
      </c>
      <c r="U172" s="2">
        <f>Jobs[[#This Row],[Sugested Price/t]] - Jobs[[#This Row],[base price/t]]</f>
        <v>0</v>
      </c>
      <c r="V172" s="3">
        <f>IFERROR(Jobs[[#This Row],[Gross margin/t]] / Jobs[[#This Row],[base price/t]], 0)</f>
        <v>0</v>
      </c>
    </row>
    <row r="173" spans="3:22" x14ac:dyDescent="0.25">
      <c r="C173" s="18">
        <v>1</v>
      </c>
      <c r="D173" t="s">
        <v>129</v>
      </c>
      <c r="J173" s="37"/>
      <c r="K173" s="22"/>
      <c r="L173" s="2"/>
      <c r="M173" s="2">
        <f>_xlfn.LET(
    _xlpm.qty, C173,
    _xlpm.weight_g, G173 + H173 + Jobs[[#This Row],[Flushed/g]],
    _xlpm.material, TRIM(E173),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73" s="2">
        <f>_xlfn.LET(
    _xlpm.qty, C173,
    _xlpm.hours, J173*24,
    _xlpm.power_w, _xlfn.XLOOKUP(TRIM(D173), Settings!$F$4:$F$101, Settings!$G$4:$G$101, 120),
    _xlpm.rate, Settings!$D$4,
    _xlpm.qty * _xlpm.hours * (_xlpm.power_w / 1000) * _xlpm.rate
)</f>
        <v>0</v>
      </c>
      <c r="O173" s="2">
        <f>_xlfn.LET(
    _xlpm.qty, C173,
    _xlpm.hours, J173*24,
    _xlpm.price, _xlfn.XLOOKUP(TRIM(D173), Settings!$F$4:$F$101, Settings!$H$4:$H$101, 0),
    _xlpm.life, _xlfn.XLOOKUP(TRIM(D173), Settings!$F$4:$F$101, Settings!$I$4:$I$101, 1),
    _xlpm.qty * _xlpm.hours * (_xlpm.price / _xlpm.life)
)</f>
        <v>0</v>
      </c>
      <c r="P173" s="2">
        <f>_xlfn.LET(
    _xlpm.qty, C173,
    _xlpm.hours, J173*24,
    _xlpm.price, _xlfn.XLOOKUP(TRIM(D173), Settings!$F$4:$F$101, Settings!$H$4:$H$101, 0),
    _xlpm.life, _xlfn.XLOOKUP(TRIM(D173), Settings!$F$4:$F$101, Settings!$I$4:$I$101, 1),
    _xlpm.pct, _xlfn.XLOOKUP(TRIM(D173), Settings!$F$4:$F$101, Settings!$J$4:$J$101, 0),
    _xlpm.qty * _xlpm.hours * (_xlpm.price / _xlpm.life * _xlpm.pct)
)</f>
        <v>0</v>
      </c>
      <c r="Q173" s="2">
        <f>Jobs[[#This Row],[Post Pro/h]]*Settings!$D$18</f>
        <v>0</v>
      </c>
      <c r="R173" s="2">
        <f>(Jobs[[#This Row],[power/t]]+Jobs[[#This Row],[Matrial/t]]+Jobs[[#This Row],[downturn/t]]+Jobs[[#This Row],[Maintenance/t]]+Jobs[[#This Row],[Coloring/t]]+Jobs[[#This Row],[Extras]])*Settings!$D$12</f>
        <v>0</v>
      </c>
      <c r="S173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73" s="2">
        <f>S173*(1+Settings!$D$5)</f>
        <v>0</v>
      </c>
      <c r="U173" s="2">
        <f>Jobs[[#This Row],[Sugested Price/t]] - Jobs[[#This Row],[base price/t]]</f>
        <v>0</v>
      </c>
      <c r="V173" s="3">
        <f>IFERROR(Jobs[[#This Row],[Gross margin/t]] / Jobs[[#This Row],[base price/t]], 0)</f>
        <v>0</v>
      </c>
    </row>
    <row r="174" spans="3:22" x14ac:dyDescent="0.25">
      <c r="C174" s="18">
        <v>1</v>
      </c>
      <c r="D174" t="s">
        <v>129</v>
      </c>
      <c r="J174" s="37"/>
      <c r="K174" s="22"/>
      <c r="L174" s="2"/>
      <c r="M174" s="2">
        <f>_xlfn.LET(
    _xlpm.qty, C174,
    _xlpm.weight_g, G174 + H174 + Jobs[[#This Row],[Flushed/g]],
    _xlpm.material, TRIM(E174),
    _xlpm.price_per_kg, _xlfn.XLOOKUP(_xlpm.material, MaterialsTbl[Material], MaterialsTbl[Price_per_kg], 0),
    _xlpm.waste_pct, _xlfn.XLOOKUP(_xlpm.material, MaterialsTbl[Material], MaterialsTbl[Waste_pct], 0),
    _xlpm.qty * (_xlpm.weight_g / 1000) * _xlpm.price_per_kg * (1 + _xlpm.waste_pct)
)</f>
        <v>0</v>
      </c>
      <c r="N174" s="2">
        <f>_xlfn.LET(
    _xlpm.qty, C174,
    _xlpm.hours, J174*24,
    _xlpm.power_w, _xlfn.XLOOKUP(TRIM(D174), Settings!$F$4:$F$101, Settings!$G$4:$G$101, 120),
    _xlpm.rate, Settings!$D$4,
    _xlpm.qty * _xlpm.hours * (_xlpm.power_w / 1000) * _xlpm.rate
)</f>
        <v>0</v>
      </c>
      <c r="O174" s="2">
        <f>_xlfn.LET(
    _xlpm.qty, C174,
    _xlpm.hours, J174*24,
    _xlpm.price, _xlfn.XLOOKUP(TRIM(D174), Settings!$F$4:$F$101, Settings!$H$4:$H$101, 0),
    _xlpm.life, _xlfn.XLOOKUP(TRIM(D174), Settings!$F$4:$F$101, Settings!$I$4:$I$101, 1),
    _xlpm.qty * _xlpm.hours * (_xlpm.price / _xlpm.life)
)</f>
        <v>0</v>
      </c>
      <c r="P174" s="2">
        <f>_xlfn.LET(
    _xlpm.qty, C174,
    _xlpm.hours, J174*24,
    _xlpm.price, _xlfn.XLOOKUP(TRIM(D174), Settings!$F$4:$F$101, Settings!$H$4:$H$101, 0),
    _xlpm.life, _xlfn.XLOOKUP(TRIM(D174), Settings!$F$4:$F$101, Settings!$I$4:$I$101, 1),
    _xlpm.pct, _xlfn.XLOOKUP(TRIM(D174), Settings!$F$4:$F$101, Settings!$J$4:$J$101, 0),
    _xlpm.qty * _xlpm.hours * (_xlpm.price / _xlpm.life * _xlpm.pct)
)</f>
        <v>0</v>
      </c>
      <c r="Q174" s="2">
        <f>Jobs[[#This Row],[Post Pro/h]]*Settings!$D$18</f>
        <v>0</v>
      </c>
      <c r="R174" s="2">
        <f>(Jobs[[#This Row],[power/t]]+Jobs[[#This Row],[Matrial/t]]+Jobs[[#This Row],[downturn/t]]+Jobs[[#This Row],[Maintenance/t]]+Jobs[[#This Row],[Coloring/t]]+Jobs[[#This Row],[Extras]])*Settings!$D$12</f>
        <v>0</v>
      </c>
      <c r="S174" s="2">
        <f>Jobs[[#This Row],[Matrial/t]] + Jobs[[#This Row],[power/t]] + Jobs[[#This Row],[downturn/t]] + Jobs[[#This Row],[Maintenance/t]] + Jobs[[#This Row],[Coloring/t]] + Jobs[[#This Row],[overhead/t]] + Jobs[[#This Row],[Extras]]</f>
        <v>0</v>
      </c>
      <c r="T174" s="2">
        <f>S174*(1+Settings!$D$5)</f>
        <v>0</v>
      </c>
      <c r="U174" s="2">
        <f>Jobs[[#This Row],[Sugested Price/t]] - Jobs[[#This Row],[base price/t]]</f>
        <v>0</v>
      </c>
      <c r="V174" s="3">
        <f>IFERROR(Jobs[[#This Row],[Gross margin/t]] / Jobs[[#This Row],[base price/t]], 0)</f>
        <v>0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200-000000000000}">
          <x14:formula1>
            <xm:f>Materials!$G$6:$G$42</xm:f>
          </x14:formula1>
          <xm:sqref>F2</xm:sqref>
        </x14:dataValidation>
        <x14:dataValidation type="list" allowBlank="1" showInputMessage="1" showErrorMessage="1" xr:uid="{00000000-0002-0000-0200-000004000000}">
          <x14:formula1>
            <xm:f>Settings!$F$4</xm:f>
          </x14:formula1>
          <xm:sqref>D175:D1048576</xm:sqref>
        </x14:dataValidation>
        <x14:dataValidation type="list" allowBlank="1" showInputMessage="1" showErrorMessage="1" xr:uid="{00000000-0002-0000-0200-000002000000}">
          <x14:formula1>
            <xm:f>Materials!$D$6:$D$24</xm:f>
          </x14:formula1>
          <xm:sqref>E139:E1048576 E2:E137</xm:sqref>
        </x14:dataValidation>
        <x14:dataValidation type="list" allowBlank="1" showInputMessage="1" showErrorMessage="1" xr:uid="{DA5C8389-D675-4C48-A24B-BD5BD076FC88}">
          <x14:formula1>
            <xm:f>Materials!$D$6:$D$25</xm:f>
          </x14:formula1>
          <xm:sqref>E138</xm:sqref>
        </x14:dataValidation>
        <x14:dataValidation type="list" allowBlank="1" showInputMessage="1" showErrorMessage="1" xr:uid="{00000000-0002-0000-0200-000001000000}">
          <x14:formula1>
            <xm:f>Settings!$F$4:$F$11</xm:f>
          </x14:formula1>
          <xm:sqref>D2:D174</xm:sqref>
        </x14:dataValidation>
        <x14:dataValidation type="list" allowBlank="1" showInputMessage="1" showErrorMessage="1" xr:uid="{00000000-0002-0000-0200-000005000000}">
          <x14:formula1>
            <xm:f>Materials!$G$6:$G$14</xm:f>
          </x14:formula1>
          <xm:sqref>F3:F1048576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2"/>
  <sheetViews>
    <sheetView workbookViewId="0">
      <pane ySplit="1" topLeftCell="A157" activePane="bottomLeft" state="frozen"/>
      <selection pane="bottomLeft" activeCell="I173" sqref="I173"/>
    </sheetView>
  </sheetViews>
  <sheetFormatPr defaultRowHeight="15" x14ac:dyDescent="0.25"/>
  <cols>
    <col min="1" max="1" width="12.42578125" bestFit="1" customWidth="1"/>
    <col min="2" max="2" width="56.28515625" bestFit="1" customWidth="1"/>
    <col min="3" max="3" width="39.7109375" bestFit="1" customWidth="1"/>
    <col min="4" max="4" width="13.85546875" bestFit="1" customWidth="1"/>
    <col min="5" max="5" width="18" bestFit="1" customWidth="1"/>
    <col min="6" max="6" width="14.140625" style="2" customWidth="1"/>
  </cols>
  <sheetData>
    <row r="1" spans="1:6" x14ac:dyDescent="0.25">
      <c r="A1" t="s">
        <v>45</v>
      </c>
      <c r="B1" t="s">
        <v>28</v>
      </c>
      <c r="C1" t="s">
        <v>109</v>
      </c>
      <c r="D1" t="s">
        <v>41</v>
      </c>
      <c r="E1" t="s">
        <v>82</v>
      </c>
      <c r="F1" s="2" t="s">
        <v>108</v>
      </c>
    </row>
    <row r="2" spans="1:6" x14ac:dyDescent="0.25">
      <c r="A2" s="35">
        <f>Jobs!A2</f>
        <v>0</v>
      </c>
      <c r="B2" s="35" t="str">
        <f>Jobs[[#This Row],[Product]]</f>
        <v>دویل گیرل اکسسوری</v>
      </c>
      <c r="C2" s="35"/>
      <c r="D2" s="36">
        <f>Jobs[[#This Row],[base price/t]]</f>
        <v>71925.672000000006</v>
      </c>
      <c r="E2" s="36">
        <f>Jobs[[#This Row],[Sugested Price/t]]</f>
        <v>215777.016</v>
      </c>
      <c r="F2" s="36"/>
    </row>
    <row r="3" spans="1:6" x14ac:dyDescent="0.25">
      <c r="A3">
        <f>Jobs!A3</f>
        <v>0</v>
      </c>
      <c r="B3" s="33" t="str">
        <f>Jobs[[#This Row],[Product]]</f>
        <v>گوشواره دینو اسکال</v>
      </c>
      <c r="C3" s="33" t="s">
        <v>107</v>
      </c>
      <c r="D3" s="2">
        <f>Jobs[[#This Row],[base price/t]]</f>
        <v>50631.672000000006</v>
      </c>
      <c r="E3" s="2">
        <f>Jobs[[#This Row],[Sugested Price/t]]</f>
        <v>151895.016</v>
      </c>
      <c r="F3" s="32">
        <v>2000000</v>
      </c>
    </row>
    <row r="4" spans="1:6" x14ac:dyDescent="0.25">
      <c r="A4">
        <f>Jobs!A4</f>
        <v>0</v>
      </c>
      <c r="B4" t="str">
        <f>Jobs[[#This Row],[Product]]</f>
        <v>ست هیولا</v>
      </c>
      <c r="D4" s="2">
        <f>Jobs[[#This Row],[base price/t]]</f>
        <v>719023.03200000001</v>
      </c>
      <c r="E4" s="2">
        <f>Jobs[[#This Row],[Sugested Price/t]]</f>
        <v>2157069.0959999999</v>
      </c>
    </row>
    <row r="5" spans="1:6" x14ac:dyDescent="0.25">
      <c r="A5">
        <f>Jobs!A5</f>
        <v>0</v>
      </c>
      <c r="B5" s="33" t="str">
        <f>Jobs[[#This Row],[Product]]</f>
        <v>جای سیم حروف</v>
      </c>
      <c r="C5" s="33" t="s">
        <v>106</v>
      </c>
      <c r="D5" s="2">
        <f>Jobs[[#This Row],[base price/t]]</f>
        <v>165145.34400000001</v>
      </c>
      <c r="E5" s="2">
        <f>Jobs[[#This Row],[Sugested Price/t]]</f>
        <v>495436.03200000001</v>
      </c>
      <c r="F5" s="32">
        <v>900000</v>
      </c>
    </row>
    <row r="6" spans="1:6" x14ac:dyDescent="0.25">
      <c r="A6">
        <f>Jobs!A6</f>
        <v>0</v>
      </c>
      <c r="B6" s="33" t="str">
        <f>Jobs[[#This Row],[Product]]</f>
        <v>گوشواره گل</v>
      </c>
      <c r="C6" s="33" t="s">
        <v>110</v>
      </c>
      <c r="D6" s="2">
        <f>Jobs[[#This Row],[base price/t]]</f>
        <v>29988.504000000001</v>
      </c>
      <c r="E6" s="2">
        <f>Jobs[[#This Row],[Sugested Price/t]]</f>
        <v>89965.512000000002</v>
      </c>
      <c r="F6" s="32">
        <v>2500000</v>
      </c>
    </row>
    <row r="7" spans="1:6" x14ac:dyDescent="0.25">
      <c r="A7">
        <f>Jobs!A7</f>
        <v>0</v>
      </c>
      <c r="B7" s="33" t="str">
        <f>Jobs[[#This Row],[Product]]</f>
        <v>وان پیس</v>
      </c>
      <c r="C7" s="33" t="s">
        <v>105</v>
      </c>
      <c r="D7" s="2">
        <f>Jobs[[#This Row],[base price/t]]</f>
        <v>119659.17599999998</v>
      </c>
      <c r="E7" s="2">
        <f>Jobs[[#This Row],[Sugested Price/t]]</f>
        <v>358977.52799999993</v>
      </c>
      <c r="F7" s="32">
        <v>2500000</v>
      </c>
    </row>
    <row r="8" spans="1:6" x14ac:dyDescent="0.25">
      <c r="A8" s="35">
        <f>Jobs!A8</f>
        <v>0</v>
      </c>
      <c r="B8" s="35" t="str">
        <f>Jobs[[#This Row],[Product]]</f>
        <v>شونه موهای فر</v>
      </c>
      <c r="C8" s="35"/>
      <c r="D8" s="36">
        <f>Jobs[[#This Row],[base price/t]]</f>
        <v>163316.60800000001</v>
      </c>
      <c r="E8" s="36">
        <f>Jobs[[#This Row],[Sugested Price/t]]</f>
        <v>489949.82400000002</v>
      </c>
      <c r="F8" s="36"/>
    </row>
    <row r="9" spans="1:6" x14ac:dyDescent="0.25">
      <c r="A9" s="35">
        <f>Jobs!A9</f>
        <v>0</v>
      </c>
      <c r="B9" s="35" t="str">
        <f>Jobs[[#This Row],[Product]]</f>
        <v>چای رژ لب</v>
      </c>
      <c r="C9" s="35"/>
      <c r="D9" s="36">
        <f>Jobs[[#This Row],[base price/t]]</f>
        <v>128906.23199999999</v>
      </c>
      <c r="E9" s="36">
        <f>Jobs[[#This Row],[Sugested Price/t]]</f>
        <v>386718.696</v>
      </c>
      <c r="F9" s="36"/>
    </row>
    <row r="10" spans="1:6" x14ac:dyDescent="0.25">
      <c r="A10" s="35">
        <f>Jobs!A10</f>
        <v>0</v>
      </c>
      <c r="B10" s="35" t="str">
        <f>Jobs[[#This Row],[Product]]</f>
        <v>فیدجت</v>
      </c>
      <c r="C10" s="35"/>
      <c r="D10" s="36">
        <f>Jobs[[#This Row],[base price/t]]</f>
        <v>96768.672000000006</v>
      </c>
      <c r="E10" s="36">
        <f>Jobs[[#This Row],[Sugested Price/t]]</f>
        <v>290306.016</v>
      </c>
      <c r="F10" s="36"/>
    </row>
    <row r="11" spans="1:6" x14ac:dyDescent="0.25">
      <c r="A11">
        <f>Jobs!A11</f>
        <v>0</v>
      </c>
      <c r="B11" s="33" t="str">
        <f>Jobs[[#This Row],[Product]]</f>
        <v>چای کابل بال</v>
      </c>
      <c r="C11" s="33" t="s">
        <v>104</v>
      </c>
      <c r="D11" s="2">
        <f>Jobs[[#This Row],[base price/t]]</f>
        <v>73423.895999999993</v>
      </c>
      <c r="E11" s="2">
        <f>Jobs[[#This Row],[Sugested Price/t]]</f>
        <v>220271.68799999997</v>
      </c>
      <c r="F11" s="32">
        <v>1500000</v>
      </c>
    </row>
    <row r="12" spans="1:6" x14ac:dyDescent="0.25">
      <c r="A12" s="35">
        <f>Jobs!A12</f>
        <v>0</v>
      </c>
      <c r="B12" s="35" t="str">
        <f>Jobs[[#This Row],[Product]]</f>
        <v>طرح نایک</v>
      </c>
      <c r="C12" s="35"/>
      <c r="D12" s="36">
        <f>Jobs[[#This Row],[base price/t]]</f>
        <v>28864.836000000003</v>
      </c>
      <c r="E12" s="36">
        <f>Jobs[[#This Row],[Sugested Price/t]]</f>
        <v>86594.508000000002</v>
      </c>
      <c r="F12" s="36"/>
    </row>
    <row r="13" spans="1:6" x14ac:dyDescent="0.25">
      <c r="A13">
        <f>Jobs!A13</f>
        <v>0</v>
      </c>
      <c r="B13" s="33" t="str">
        <f>Jobs[[#This Row],[Product]]</f>
        <v>گوشواره روتاری</v>
      </c>
      <c r="C13" s="33" t="s">
        <v>103</v>
      </c>
      <c r="D13" s="2">
        <f>Jobs[[#This Row],[base price/t]]</f>
        <v>74173.008000000002</v>
      </c>
      <c r="E13" s="2">
        <f>Jobs[[#This Row],[Sugested Price/t]]</f>
        <v>222519.024</v>
      </c>
      <c r="F13" s="32">
        <v>900000</v>
      </c>
    </row>
    <row r="14" spans="1:6" x14ac:dyDescent="0.25">
      <c r="A14">
        <f>Jobs!A14</f>
        <v>0</v>
      </c>
      <c r="B14" s="33" t="str">
        <f>Jobs[[#This Row],[Product]]</f>
        <v>کلاه کابویی</v>
      </c>
      <c r="C14" s="33" t="s">
        <v>102</v>
      </c>
      <c r="D14" s="2">
        <f>Jobs[[#This Row],[base price/t]]</f>
        <v>40635.504000000001</v>
      </c>
      <c r="E14" s="2">
        <f>Jobs[[#This Row],[Sugested Price/t]]</f>
        <v>121906.512</v>
      </c>
      <c r="F14" s="32">
        <v>800000</v>
      </c>
    </row>
    <row r="15" spans="1:6" x14ac:dyDescent="0.25">
      <c r="A15">
        <f>Jobs!A15</f>
        <v>0</v>
      </c>
      <c r="B15" s="33" t="str">
        <f>Jobs[[#This Row],[Product]]</f>
        <v>شیپ طوری</v>
      </c>
      <c r="C15" s="33" t="s">
        <v>111</v>
      </c>
      <c r="D15" s="2">
        <f>Jobs[[#This Row],[base price/t]]</f>
        <v>39886.392</v>
      </c>
      <c r="E15" s="2">
        <f>Jobs[[#This Row],[Sugested Price/t]]</f>
        <v>119659.17600000001</v>
      </c>
      <c r="F15" s="32">
        <v>400000</v>
      </c>
    </row>
    <row r="16" spans="1:6" x14ac:dyDescent="0.25">
      <c r="A16">
        <f>Jobs!A16</f>
        <v>0</v>
      </c>
      <c r="B16" s="33" t="str">
        <f>Jobs[[#This Row],[Product]]</f>
        <v>کلیپس پروانه</v>
      </c>
      <c r="C16" s="33" t="s">
        <v>101</v>
      </c>
      <c r="D16" s="2">
        <f>Jobs[[#This Row],[base price/t]]</f>
        <v>143200.51199999999</v>
      </c>
      <c r="E16" s="2">
        <f>Jobs[[#This Row],[Sugested Price/t]]</f>
        <v>429601.53599999996</v>
      </c>
      <c r="F16" s="32">
        <v>500000</v>
      </c>
    </row>
    <row r="17" spans="1:6" x14ac:dyDescent="0.25">
      <c r="A17">
        <f>Jobs!A17</f>
        <v>0</v>
      </c>
      <c r="B17" t="str">
        <f>Jobs[[#This Row],[Product]]</f>
        <v>گوشواره دیویل ور پرادا</v>
      </c>
      <c r="C17" t="s">
        <v>112</v>
      </c>
      <c r="D17" s="2">
        <f>Jobs[[#This Row],[base price/t]]</f>
        <v>722866.87199999997</v>
      </c>
      <c r="E17" s="2">
        <f>Jobs[[#This Row],[Sugested Price/t]]</f>
        <v>2168600.6159999999</v>
      </c>
      <c r="F17" s="2">
        <v>300000</v>
      </c>
    </row>
    <row r="18" spans="1:6" x14ac:dyDescent="0.25">
      <c r="A18">
        <f>Jobs!A18</f>
        <v>0</v>
      </c>
      <c r="B18" t="str">
        <f>Jobs[[#This Row],[Product]]</f>
        <v>انگشتر ژرمن شپرد</v>
      </c>
      <c r="D18" s="2">
        <f>Jobs[[#This Row],[base price/t]]</f>
        <v>214992.33600000001</v>
      </c>
      <c r="E18" s="2">
        <f>Jobs[[#This Row],[Sugested Price/t]]</f>
        <v>644977.00800000003</v>
      </c>
      <c r="F18" s="2">
        <v>250000</v>
      </c>
    </row>
    <row r="19" spans="1:6" x14ac:dyDescent="0.25">
      <c r="A19">
        <f>Jobs!A19</f>
        <v>0</v>
      </c>
      <c r="B19" t="str">
        <f>Jobs[[#This Row],[Product]]</f>
        <v>گوشواره دلفین</v>
      </c>
      <c r="C19" t="s">
        <v>113</v>
      </c>
      <c r="D19" s="2">
        <f>Jobs[[#This Row],[base price/t]]</f>
        <v>0</v>
      </c>
      <c r="E19" s="2">
        <f>Jobs[[#This Row],[Sugested Price/t]]</f>
        <v>0</v>
      </c>
      <c r="F19" s="2">
        <v>500000</v>
      </c>
    </row>
    <row r="20" spans="1:6" x14ac:dyDescent="0.25">
      <c r="A20">
        <f>Jobs!A20</f>
        <v>0</v>
      </c>
      <c r="B20" t="str">
        <f>Jobs[[#This Row],[Product]]</f>
        <v>گوشواره ببر</v>
      </c>
      <c r="C20" t="s">
        <v>114</v>
      </c>
      <c r="D20" s="2">
        <f>Jobs[[#This Row],[base price/t]]</f>
        <v>37512.383999999998</v>
      </c>
      <c r="E20" s="2">
        <f>Jobs[[#This Row],[Sugested Price/t]]</f>
        <v>112537.152</v>
      </c>
      <c r="F20" s="2">
        <v>300000</v>
      </c>
    </row>
    <row r="21" spans="1:6" x14ac:dyDescent="0.25">
      <c r="A21">
        <f>Jobs!A21</f>
        <v>0</v>
      </c>
      <c r="B21" t="str">
        <f>Jobs[[#This Row],[Product]]</f>
        <v>جاسویچی آیفون</v>
      </c>
      <c r="C21" t="s">
        <v>115</v>
      </c>
      <c r="D21" s="2">
        <f>Jobs[[#This Row],[base price/t]]</f>
        <v>19243.223999999998</v>
      </c>
      <c r="E21" s="2">
        <f>Jobs[[#This Row],[Sugested Price/t]]</f>
        <v>57729.671999999991</v>
      </c>
      <c r="F21" s="2">
        <v>300000</v>
      </c>
    </row>
    <row r="22" spans="1:6" x14ac:dyDescent="0.25">
      <c r="A22" s="35">
        <f>Jobs!A22</f>
        <v>0</v>
      </c>
      <c r="B22" s="35" t="str">
        <f>Jobs[[#This Row],[Product]]</f>
        <v>اکسسوری دریا</v>
      </c>
      <c r="C22" s="35"/>
      <c r="D22" s="36">
        <f>Jobs[[#This Row],[base price/t]]</f>
        <v>43435.392000000007</v>
      </c>
      <c r="E22" s="36">
        <f>Jobs[[#This Row],[Sugested Price/t]]</f>
        <v>130306.17600000002</v>
      </c>
      <c r="F22" s="36"/>
    </row>
    <row r="23" spans="1:6" x14ac:dyDescent="0.25">
      <c r="A23">
        <f>Jobs!A23</f>
        <v>0</v>
      </c>
      <c r="B23" t="str">
        <f>Jobs[[#This Row],[Product]]</f>
        <v>گوشواره اژدها</v>
      </c>
      <c r="C23" t="s">
        <v>116</v>
      </c>
      <c r="D23" s="2">
        <f>Jobs[[#This Row],[base price/t]]</f>
        <v>47082.672000000006</v>
      </c>
      <c r="E23" s="2">
        <f>Jobs[[#This Row],[Sugested Price/t]]</f>
        <v>141248.016</v>
      </c>
      <c r="F23" s="2">
        <v>300000</v>
      </c>
    </row>
    <row r="24" spans="1:6" x14ac:dyDescent="0.25">
      <c r="A24">
        <f>Jobs!A24</f>
        <v>0</v>
      </c>
      <c r="B24" s="33" t="str">
        <f>Jobs[[#This Row],[Product]]</f>
        <v>گوشواره گل</v>
      </c>
      <c r="C24" s="33" t="s">
        <v>100</v>
      </c>
      <c r="D24" s="2">
        <f>Jobs[[#This Row],[base price/t]]</f>
        <v>15694.223999999998</v>
      </c>
      <c r="E24" s="2">
        <f>Jobs[[#This Row],[Sugested Price/t]]</f>
        <v>47082.671999999991</v>
      </c>
      <c r="F24" s="32">
        <v>600000</v>
      </c>
    </row>
    <row r="25" spans="1:6" x14ac:dyDescent="0.25">
      <c r="A25">
        <f>Jobs!A25</f>
        <v>0</v>
      </c>
      <c r="B25" s="33" t="str">
        <f>Jobs[[#This Row],[Product]]</f>
        <v>گوشواره ایر جردن</v>
      </c>
      <c r="C25" s="33" t="s">
        <v>99</v>
      </c>
      <c r="D25" s="2">
        <f>Jobs[[#This Row],[base price/t]]</f>
        <v>72576.504000000001</v>
      </c>
      <c r="E25" s="2">
        <f>Jobs[[#This Row],[Sugested Price/t]]</f>
        <v>217729.51199999999</v>
      </c>
      <c r="F25" s="32">
        <v>2000000</v>
      </c>
    </row>
    <row r="26" spans="1:6" x14ac:dyDescent="0.25">
      <c r="A26" s="35" t="e">
        <f>Jobs!#REF!</f>
        <v>#REF!</v>
      </c>
      <c r="B26" s="35" t="str">
        <f>Jobs[[#This Row],[Product]]</f>
        <v>مار فلکسی</v>
      </c>
      <c r="C26" s="35"/>
      <c r="D26" s="36">
        <f>Jobs[[#This Row],[base price/t]]</f>
        <v>20102.846399999995</v>
      </c>
      <c r="E26" s="36">
        <f>Jobs[[#This Row],[Sugested Price/t]]</f>
        <v>60308.539199999985</v>
      </c>
      <c r="F26" s="36"/>
    </row>
    <row r="27" spans="1:6" x14ac:dyDescent="0.25">
      <c r="A27">
        <f>Jobs!A26</f>
        <v>0</v>
      </c>
      <c r="B27" s="33" t="str">
        <f>Jobs[[#This Row],[Product]]</f>
        <v>مارملوک فلکسی</v>
      </c>
      <c r="C27" s="33" t="s">
        <v>117</v>
      </c>
      <c r="D27" s="2">
        <f>Jobs[[#This Row],[base price/t]]</f>
        <v>30639.336000000003</v>
      </c>
      <c r="E27" s="2">
        <f>Jobs[[#This Row],[Sugested Price/t]]</f>
        <v>91918.008000000002</v>
      </c>
      <c r="F27" s="32">
        <v>1500000</v>
      </c>
    </row>
    <row r="28" spans="1:6" x14ac:dyDescent="0.25">
      <c r="A28">
        <f>Jobs!A27</f>
        <v>0</v>
      </c>
      <c r="B28" t="str">
        <f>Jobs[[#This Row],[Product]]</f>
        <v>اسکویید فلکسی</v>
      </c>
      <c r="C28" t="s">
        <v>118</v>
      </c>
      <c r="D28" s="2">
        <f>Jobs[[#This Row],[base price/t]]</f>
        <v>64827.672000000006</v>
      </c>
      <c r="E28" s="2">
        <f>Jobs[[#This Row],[Sugested Price/t]]</f>
        <v>194483.016</v>
      </c>
      <c r="F28" s="2">
        <v>200000</v>
      </c>
    </row>
    <row r="29" spans="1:6" x14ac:dyDescent="0.25">
      <c r="A29">
        <f>Jobs!A28</f>
        <v>0</v>
      </c>
      <c r="B29" t="str">
        <f>Jobs[[#This Row],[Product]]</f>
        <v>کلیکر نون برنجی</v>
      </c>
      <c r="C29" t="s">
        <v>119</v>
      </c>
      <c r="D29" s="2">
        <f>Jobs[[#This Row],[base price/t]]</f>
        <v>61610.203200000004</v>
      </c>
      <c r="E29" s="2">
        <f>Jobs[[#This Row],[Sugested Price/t]]</f>
        <v>184830.60960000003</v>
      </c>
      <c r="F29" s="2">
        <v>300000</v>
      </c>
    </row>
    <row r="30" spans="1:6" x14ac:dyDescent="0.25">
      <c r="A30">
        <f>Jobs!A29</f>
        <v>0</v>
      </c>
      <c r="B30" t="str">
        <f>Jobs[[#This Row],[Product]]</f>
        <v>اختاپوس فلکسی</v>
      </c>
      <c r="D30" s="2">
        <f>Jobs[[#This Row],[base price/t]]</f>
        <v>87730.406400000007</v>
      </c>
      <c r="E30" s="2">
        <f>Jobs[[#This Row],[Sugested Price/t]]</f>
        <v>263191.21920000005</v>
      </c>
    </row>
    <row r="31" spans="1:6" x14ac:dyDescent="0.25">
      <c r="A31">
        <f>Jobs!A30</f>
        <v>0</v>
      </c>
      <c r="B31" t="str">
        <f>Jobs[[#This Row],[Product]]</f>
        <v>خانواده کاکتوس</v>
      </c>
      <c r="D31" s="2">
        <f>Jobs[[#This Row],[base price/t]]</f>
        <v>771227.18399999989</v>
      </c>
      <c r="E31" s="2">
        <f>Jobs[[#This Row],[Sugested Price/t]]</f>
        <v>2313681.5519999997</v>
      </c>
    </row>
    <row r="32" spans="1:6" x14ac:dyDescent="0.25">
      <c r="A32">
        <f>Jobs!A31</f>
        <v>0</v>
      </c>
      <c r="B32" t="str">
        <f>Jobs[[#This Row],[Product]]</f>
        <v>شتر بیابونی</v>
      </c>
      <c r="D32" s="2">
        <f>Jobs[[#This Row],[base price/t]]</f>
        <v>42145.958399999996</v>
      </c>
      <c r="E32" s="2">
        <f>Jobs[[#This Row],[Sugested Price/t]]</f>
        <v>126437.87519999998</v>
      </c>
    </row>
    <row r="33" spans="1:6" x14ac:dyDescent="0.25">
      <c r="A33">
        <f>Jobs!A32</f>
        <v>0</v>
      </c>
      <c r="B33" s="33" t="str">
        <f>Jobs[[#This Row],[Product]]</f>
        <v>افتاب پرست فلکسی</v>
      </c>
      <c r="C33" s="33" t="s">
        <v>120</v>
      </c>
      <c r="D33" s="2">
        <f>Jobs[[#This Row],[base price/t]]</f>
        <v>17094.168000000001</v>
      </c>
      <c r="E33" s="2">
        <f>Jobs[[#This Row],[Sugested Price/t]]</f>
        <v>51282.504000000001</v>
      </c>
      <c r="F33" s="32">
        <v>800000</v>
      </c>
    </row>
    <row r="34" spans="1:6" x14ac:dyDescent="0.25">
      <c r="A34">
        <f>Jobs!A33</f>
        <v>0</v>
      </c>
      <c r="B34" t="str">
        <f>Jobs[[#This Row],[Product]]</f>
        <v xml:space="preserve"> گربه سفره ای فلکسی</v>
      </c>
      <c r="D34" s="2">
        <f>Jobs[[#This Row],[base price/t]]</f>
        <v>146098.68</v>
      </c>
      <c r="E34" s="2">
        <f>Jobs[[#This Row],[Sugested Price/t]]</f>
        <v>438296.04</v>
      </c>
    </row>
    <row r="35" spans="1:6" x14ac:dyDescent="0.25">
      <c r="A35" t="e">
        <f>Jobs!#REF!</f>
        <v>#REF!</v>
      </c>
      <c r="B35" s="33" t="str">
        <f>Jobs[[#This Row],[Product]]</f>
        <v>گربه گوگلی فلکسی</v>
      </c>
      <c r="C35" s="33" t="s">
        <v>122</v>
      </c>
      <c r="D35" s="2">
        <f>Jobs[[#This Row],[base price/t]]</f>
        <v>44835.336000000003</v>
      </c>
      <c r="E35" s="2">
        <f>Jobs[[#This Row],[Sugested Price/t]]</f>
        <v>134506.008</v>
      </c>
      <c r="F35" s="32">
        <v>500000</v>
      </c>
    </row>
    <row r="36" spans="1:6" x14ac:dyDescent="0.25">
      <c r="A36">
        <f>Jobs!A35</f>
        <v>0</v>
      </c>
      <c r="B36" s="33" t="str">
        <f>Jobs[[#This Row],[Product]]</f>
        <v>کوکر اسپنیول فلکسی</v>
      </c>
      <c r="C36" s="33" t="s">
        <v>121</v>
      </c>
      <c r="D36" s="2">
        <f>Jobs[[#This Row],[base price/t]]</f>
        <v>65908.315199999983</v>
      </c>
      <c r="E36" s="2">
        <f>Jobs[[#This Row],[Sugested Price/t]]</f>
        <v>197724.94559999995</v>
      </c>
      <c r="F36" s="32">
        <v>2000000</v>
      </c>
    </row>
    <row r="37" spans="1:6" x14ac:dyDescent="0.25">
      <c r="A37" s="35">
        <f>Jobs!A36</f>
        <v>0</v>
      </c>
      <c r="B37" s="35" t="str">
        <f>Jobs[[#This Row],[Product]]</f>
        <v>دراگون فلکسی</v>
      </c>
      <c r="C37" s="35"/>
      <c r="D37" s="36">
        <f>Jobs[[#This Row],[base price/t]]</f>
        <v>29890.223999999998</v>
      </c>
      <c r="E37" s="36">
        <f>Jobs[[#This Row],[Sugested Price/t]]</f>
        <v>89670.671999999991</v>
      </c>
      <c r="F37" s="36"/>
    </row>
    <row r="38" spans="1:6" x14ac:dyDescent="0.25">
      <c r="A38">
        <f>Jobs!A37</f>
        <v>0</v>
      </c>
      <c r="B38" t="str">
        <f>Jobs[[#This Row],[Product]]</f>
        <v>کوسه فلکسی</v>
      </c>
      <c r="C38" t="s">
        <v>123</v>
      </c>
      <c r="D38" s="2">
        <f>Jobs[[#This Row],[base price/t]]</f>
        <v>83432.294399999999</v>
      </c>
      <c r="E38" s="2">
        <f>Jobs[[#This Row],[Sugested Price/t]]</f>
        <v>250296.88319999998</v>
      </c>
      <c r="F38" s="2">
        <v>500000</v>
      </c>
    </row>
    <row r="39" spans="1:6" x14ac:dyDescent="0.25">
      <c r="A39">
        <f>Jobs!A38</f>
        <v>0</v>
      </c>
      <c r="B39" t="str">
        <f>Jobs[[#This Row],[Product]]</f>
        <v>کلیکر چمن ماینکرفت</v>
      </c>
      <c r="C39" t="s">
        <v>124</v>
      </c>
      <c r="D39" s="2">
        <f>Jobs[[#This Row],[base price/t]]</f>
        <v>55912.147199999985</v>
      </c>
      <c r="E39" s="2">
        <f>Jobs[[#This Row],[Sugested Price/t]]</f>
        <v>167736.44159999996</v>
      </c>
      <c r="F39" s="2">
        <v>1700000</v>
      </c>
    </row>
    <row r="40" spans="1:6" x14ac:dyDescent="0.25">
      <c r="A40">
        <f>Jobs!A39</f>
        <v>0</v>
      </c>
      <c r="B40" t="str">
        <f>Jobs[[#This Row],[Product]]</f>
        <v>اسب آبی فلکسی</v>
      </c>
      <c r="C40" t="s">
        <v>125</v>
      </c>
      <c r="D40" s="2">
        <f>Jobs[[#This Row],[base price/t]]</f>
        <v>23222.035199999998</v>
      </c>
      <c r="E40" s="2">
        <f>Jobs[[#This Row],[Sugested Price/t]]</f>
        <v>69666.105599999995</v>
      </c>
      <c r="F40" s="2">
        <v>2000000</v>
      </c>
    </row>
    <row r="41" spans="1:6" x14ac:dyDescent="0.25">
      <c r="A41">
        <f>Jobs!A40</f>
        <v>0</v>
      </c>
      <c r="B41" t="str">
        <f>Jobs[[#This Row],[Product]]</f>
        <v>گوربه اخمو</v>
      </c>
      <c r="C41" t="s">
        <v>126</v>
      </c>
      <c r="D41" s="2">
        <f>Jobs[[#This Row],[base price/t]]</f>
        <v>55691.126400000001</v>
      </c>
      <c r="E41" s="2">
        <f>Jobs[[#This Row],[Sugested Price/t]]</f>
        <v>167073.3792</v>
      </c>
      <c r="F41" s="2">
        <v>600000</v>
      </c>
    </row>
    <row r="42" spans="1:6" x14ac:dyDescent="0.25">
      <c r="A42">
        <f>Jobs!A41</f>
        <v>0</v>
      </c>
      <c r="B42" t="str">
        <f>Jobs[[#This Row],[Product]]</f>
        <v>قورباغه مه</v>
      </c>
      <c r="C42" t="s">
        <v>127</v>
      </c>
      <c r="D42" s="2">
        <f>Jobs[[#This Row],[base price/t]]</f>
        <v>24081.657599999999</v>
      </c>
      <c r="E42" s="2">
        <f>Jobs[[#This Row],[Sugested Price/t]]</f>
        <v>72244.972799999989</v>
      </c>
      <c r="F42" s="2">
        <v>1500000</v>
      </c>
    </row>
    <row r="43" spans="1:6" x14ac:dyDescent="0.25">
      <c r="A43">
        <f>Jobs!A42</f>
        <v>0</v>
      </c>
      <c r="B43" t="str">
        <f>Jobs[[#This Row],[Product]]</f>
        <v>شیر دریایی بافت</v>
      </c>
      <c r="C43" t="s">
        <v>128</v>
      </c>
      <c r="D43" s="2">
        <f>Jobs[[#This Row],[base price/t]]</f>
        <v>78692.140799999994</v>
      </c>
      <c r="E43" s="2">
        <f>Jobs[[#This Row],[Sugested Price/t]]</f>
        <v>236076.42239999998</v>
      </c>
      <c r="F43" s="2">
        <v>500000</v>
      </c>
    </row>
    <row r="44" spans="1:6" x14ac:dyDescent="0.25">
      <c r="A44">
        <f>Jobs!A43</f>
        <v>0</v>
      </c>
      <c r="B44" t="str">
        <f>Jobs[[#This Row],[Product]]</f>
        <v>جغد بافت</v>
      </c>
      <c r="C44" t="s">
        <v>136</v>
      </c>
      <c r="D44" s="2">
        <f>Jobs[[#This Row],[base price/t]]</f>
        <v>112462.89599999999</v>
      </c>
      <c r="E44" s="2">
        <f>Jobs[[#This Row],[Sugested Price/t]]</f>
        <v>337388.68799999997</v>
      </c>
      <c r="F44" s="2">
        <v>5000000</v>
      </c>
    </row>
    <row r="45" spans="1:6" x14ac:dyDescent="0.25">
      <c r="A45">
        <f>Jobs!A44</f>
        <v>0</v>
      </c>
      <c r="B45" t="str">
        <f>Jobs[[#This Row],[Product]]</f>
        <v xml:space="preserve">پیتبول </v>
      </c>
      <c r="C45" t="s">
        <v>139</v>
      </c>
      <c r="D45" s="2">
        <f>Jobs[[#This Row],[base price/t]]</f>
        <v>30320.035199999998</v>
      </c>
      <c r="E45" s="2">
        <f>Jobs[[#This Row],[Sugested Price/t]]</f>
        <v>90960.105599999995</v>
      </c>
      <c r="F45" s="2">
        <v>700000</v>
      </c>
    </row>
    <row r="46" spans="1:6" x14ac:dyDescent="0.25">
      <c r="A46">
        <f>Jobs!A45</f>
        <v>0</v>
      </c>
      <c r="B46" t="str">
        <f>Jobs[[#This Row],[Product]]</f>
        <v xml:space="preserve"> کالکشن فنری</v>
      </c>
      <c r="C46" t="s">
        <v>140</v>
      </c>
      <c r="D46" s="2">
        <f>Jobs[[#This Row],[base price/t]]</f>
        <v>61180.392000000007</v>
      </c>
      <c r="E46" s="2">
        <f>Jobs[[#This Row],[Sugested Price/t]]</f>
        <v>183541.17600000004</v>
      </c>
      <c r="F46" s="2">
        <v>2000000</v>
      </c>
    </row>
    <row r="47" spans="1:6" x14ac:dyDescent="0.25">
      <c r="A47" t="str">
        <f>Jobs!A46</f>
        <v>KE004</v>
      </c>
      <c r="B47" t="str">
        <f>Jobs[[#This Row],[Product]]</f>
        <v>فیدجت چرخونکی فنری</v>
      </c>
      <c r="C47" t="s">
        <v>141</v>
      </c>
      <c r="D47" s="2">
        <f>Jobs[[#This Row],[base price/t]]</f>
        <v>135156.84</v>
      </c>
      <c r="E47" s="2">
        <f>Jobs[[#This Row],[Sugested Price/t]]</f>
        <v>405470.52</v>
      </c>
      <c r="F47" s="2">
        <v>2000000</v>
      </c>
    </row>
    <row r="48" spans="1:6" x14ac:dyDescent="0.25">
      <c r="A48">
        <f>Jobs!A47</f>
        <v>0</v>
      </c>
      <c r="B48" t="str">
        <f>Jobs[[#This Row],[Product]]</f>
        <v>ریل فینگر برد</v>
      </c>
      <c r="D48" s="2">
        <f>Jobs[[#This Row],[base price/t]]</f>
        <v>139356.67199999999</v>
      </c>
      <c r="E48" s="2">
        <f>Jobs[[#This Row],[Sugested Price/t]]</f>
        <v>418070.01599999995</v>
      </c>
    </row>
    <row r="49" spans="1:6" x14ac:dyDescent="0.25">
      <c r="A49">
        <f>Jobs!A48</f>
        <v>0</v>
      </c>
      <c r="B49" t="str">
        <f>Jobs[[#This Row],[Product]]</f>
        <v>اسنوبرد فینگربرد</v>
      </c>
      <c r="D49" s="2">
        <f>Jobs[[#This Row],[base price/t]]</f>
        <v>173753.79840000003</v>
      </c>
      <c r="E49" s="2">
        <f>Jobs[[#This Row],[Sugested Price/t]]</f>
        <v>521261.39520000009</v>
      </c>
    </row>
    <row r="50" spans="1:6" x14ac:dyDescent="0.25">
      <c r="A50">
        <f>Jobs!A49</f>
        <v>0</v>
      </c>
      <c r="B50" t="str">
        <f>Jobs[[#This Row],[Product]]</f>
        <v>آویز دیواری اسکیت برد</v>
      </c>
      <c r="C50" t="s">
        <v>142</v>
      </c>
      <c r="D50" s="2">
        <f>Jobs[[#This Row],[base price/t]]</f>
        <v>442823.67999999993</v>
      </c>
      <c r="E50" s="2">
        <f>Jobs[[#This Row],[Sugested Price/t]]</f>
        <v>1328471.0399999998</v>
      </c>
      <c r="F50" s="2">
        <v>500000</v>
      </c>
    </row>
    <row r="51" spans="1:6" x14ac:dyDescent="0.25">
      <c r="A51">
        <f>Jobs!A50</f>
        <v>0</v>
      </c>
      <c r="B51" t="str">
        <f>Jobs[[#This Row],[Product]]</f>
        <v>آویز دیواری رول اسکیت</v>
      </c>
      <c r="D51" s="2">
        <f>Jobs[[#This Row],[base price/t]]</f>
        <v>499144.46400000009</v>
      </c>
      <c r="E51" s="2">
        <f>Jobs[[#This Row],[Sugested Price/t]]</f>
        <v>1497433.3920000002</v>
      </c>
    </row>
    <row r="52" spans="1:6" x14ac:dyDescent="0.25">
      <c r="A52" t="e">
        <f>Jobs!#REF!</f>
        <v>#REF!</v>
      </c>
      <c r="B52" t="str">
        <f>Jobs[[#This Row],[Product]]</f>
        <v xml:space="preserve"> اژدهای کریستالی فلکسی</v>
      </c>
      <c r="D52" s="2">
        <f>Jobs[[#This Row],[base price/t]]</f>
        <v>79772.784</v>
      </c>
      <c r="E52" s="2">
        <f>Jobs[[#This Row],[Sugested Price/t]]</f>
        <v>239318.35200000001</v>
      </c>
    </row>
    <row r="53" spans="1:6" x14ac:dyDescent="0.25">
      <c r="A53" s="35">
        <f>Jobs!A51</f>
        <v>0</v>
      </c>
      <c r="B53" s="35" t="str">
        <f>Jobs[[#This Row],[Product]]</f>
        <v xml:space="preserve"> اژدهای قلبی فلکسی</v>
      </c>
      <c r="C53" s="35"/>
      <c r="D53" s="36">
        <f>Jobs[[#This Row],[base price/t]]</f>
        <v>51971.337600000006</v>
      </c>
      <c r="E53" s="36">
        <f>Jobs[[#This Row],[Sugested Price/t]]</f>
        <v>155914.01280000003</v>
      </c>
      <c r="F53" s="36"/>
    </row>
    <row r="54" spans="1:6" x14ac:dyDescent="0.25">
      <c r="A54" s="35" t="str">
        <f>Jobs!A52</f>
        <v>KE001</v>
      </c>
      <c r="B54" s="35" t="str">
        <f>Jobs[[#This Row],[Product]]</f>
        <v xml:space="preserve"> کالکشن گیتار</v>
      </c>
      <c r="C54" s="35"/>
      <c r="D54" s="36">
        <f>Jobs[[#This Row],[base price/t]]</f>
        <v>24612.223999999998</v>
      </c>
      <c r="E54" s="36">
        <f>Jobs[[#This Row],[Sugested Price/t]]</f>
        <v>73836.671999999991</v>
      </c>
      <c r="F54" s="36"/>
    </row>
    <row r="55" spans="1:6" x14ac:dyDescent="0.25">
      <c r="A55" t="str">
        <f>Jobs!A34</f>
        <v>KE002</v>
      </c>
      <c r="B55" t="str">
        <f>Jobs[[#This Row],[Product]]</f>
        <v xml:space="preserve"> کالکشن حیوانات اسیر</v>
      </c>
      <c r="C55" t="s">
        <v>143</v>
      </c>
      <c r="D55" s="2">
        <f>Jobs[[#This Row],[base price/t]]</f>
        <v>35143.836000000003</v>
      </c>
      <c r="E55" s="2">
        <f>Jobs[[#This Row],[Sugested Price/t]]</f>
        <v>105431.508</v>
      </c>
      <c r="F55" s="2">
        <v>2000000</v>
      </c>
    </row>
    <row r="56" spans="1:6" x14ac:dyDescent="0.25">
      <c r="A56" t="str">
        <f>Jobs!A53</f>
        <v>KE003</v>
      </c>
      <c r="B56" t="str">
        <f>Jobs[[#This Row],[Product]]</f>
        <v>کالکشن باشگاه</v>
      </c>
      <c r="D56" s="2">
        <f>Jobs[[#This Row],[base price/t]]</f>
        <v>267877.79200000002</v>
      </c>
      <c r="E56" s="2">
        <f>Jobs[[#This Row],[Sugested Price/t]]</f>
        <v>803633.37600000005</v>
      </c>
    </row>
    <row r="57" spans="1:6" x14ac:dyDescent="0.25">
      <c r="A57" t="e">
        <f>Jobs!#REF!</f>
        <v>#REF!</v>
      </c>
      <c r="B57" t="str">
        <f>Jobs[[#This Row],[Product]]</f>
        <v xml:space="preserve"> کالکشن کلیکر خوراکی</v>
      </c>
      <c r="D57" s="2">
        <f>Jobs[[#This Row],[base price/t]]</f>
        <v>126725.508</v>
      </c>
      <c r="E57" s="2">
        <f>Jobs[[#This Row],[Sugested Price/t]]</f>
        <v>380176.52399999998</v>
      </c>
    </row>
    <row r="58" spans="1:6" x14ac:dyDescent="0.25">
      <c r="A58" t="str">
        <f>Jobs!A54</f>
        <v>KE005</v>
      </c>
      <c r="B58" t="str">
        <f>Jobs[[#This Row],[Product]]</f>
        <v xml:space="preserve"> کلیکر پنجه گربه</v>
      </c>
      <c r="D58" s="2">
        <f>Jobs[[#This Row],[base price/t]]</f>
        <v>118141.478</v>
      </c>
      <c r="E58" s="2">
        <f>Jobs[[#This Row],[Sugested Price/t]]</f>
        <v>354424.43400000001</v>
      </c>
    </row>
    <row r="59" spans="1:6" x14ac:dyDescent="0.25">
      <c r="A59" t="str">
        <f>Jobs!A55</f>
        <v>KE006</v>
      </c>
      <c r="B59" t="str">
        <f>Jobs[[#This Row],[Product]]</f>
        <v xml:space="preserve"> سگ بادکنکی</v>
      </c>
      <c r="D59" s="2">
        <f>Jobs[[#This Row],[base price/t]]</f>
        <v>19231.03</v>
      </c>
      <c r="E59" s="2">
        <f>Jobs[[#This Row],[Sugested Price/t]]</f>
        <v>57693.09</v>
      </c>
    </row>
    <row r="60" spans="1:6" x14ac:dyDescent="0.25">
      <c r="A60" t="str">
        <f>Jobs!A56</f>
        <v>KE007</v>
      </c>
      <c r="B60" t="str">
        <f>Jobs[[#This Row],[Product]]</f>
        <v xml:space="preserve"> پودل مینیاتوری</v>
      </c>
      <c r="D60" s="2">
        <f>Jobs[[#This Row],[base price/t]]</f>
        <v>72119.865999999995</v>
      </c>
      <c r="E60" s="2">
        <f>Jobs[[#This Row],[Sugested Price/t]]</f>
        <v>216359.598</v>
      </c>
    </row>
    <row r="61" spans="1:6" x14ac:dyDescent="0.25">
      <c r="A61" t="str">
        <f>Jobs!A57</f>
        <v>KE008</v>
      </c>
      <c r="B61" t="str">
        <f>Jobs[[#This Row],[Product]]</f>
        <v xml:space="preserve"> کالکشن ریختنی</v>
      </c>
      <c r="D61" s="2">
        <f>Jobs[[#This Row],[base price/t]]</f>
        <v>343431.27</v>
      </c>
      <c r="E61" s="2">
        <f>Jobs[[#This Row],[Sugested Price/t]]</f>
        <v>1030293.81</v>
      </c>
    </row>
    <row r="62" spans="1:6" x14ac:dyDescent="0.25">
      <c r="A62" t="str">
        <f>Jobs!A58</f>
        <v>KE009</v>
      </c>
      <c r="B62" t="str">
        <f>Jobs[[#This Row],[Product]]</f>
        <v xml:space="preserve"> کالکشن دیم سام</v>
      </c>
      <c r="D62" s="2">
        <f>Jobs[[#This Row],[base price/t]]</f>
        <v>45790.836000000003</v>
      </c>
      <c r="E62" s="2">
        <f>Jobs[[#This Row],[Sugested Price/t]]</f>
        <v>137372.508</v>
      </c>
    </row>
    <row r="63" spans="1:6" x14ac:dyDescent="0.25">
      <c r="A63" t="str">
        <f>Jobs!A59</f>
        <v>KE010</v>
      </c>
      <c r="B63" t="str">
        <f>Jobs[[#This Row],[Product]]</f>
        <v xml:space="preserve"> کالکشن بچه فلکسی ها</v>
      </c>
      <c r="D63" s="2">
        <f>Jobs[[#This Row],[base price/t]]</f>
        <v>61242.090000000004</v>
      </c>
      <c r="E63" s="2">
        <f>Jobs[[#This Row],[Sugested Price/t]]</f>
        <v>183726.27000000002</v>
      </c>
    </row>
    <row r="64" spans="1:6" x14ac:dyDescent="0.25">
      <c r="A64" t="str">
        <f>Jobs!A60</f>
        <v>KE011</v>
      </c>
      <c r="B64" t="str">
        <f>Jobs[[#This Row],[Product]]</f>
        <v xml:space="preserve"> کالکشن بافتنی</v>
      </c>
      <c r="C64" t="s">
        <v>144</v>
      </c>
      <c r="D64" s="2">
        <f>Jobs[[#This Row],[base price/t]]</f>
        <v>157974.18</v>
      </c>
      <c r="E64" s="2">
        <f>Jobs[[#This Row],[Sugested Price/t]]</f>
        <v>473922.54</v>
      </c>
      <c r="F64" s="2">
        <v>1000000</v>
      </c>
    </row>
    <row r="65" spans="1:6" x14ac:dyDescent="0.25">
      <c r="A65" t="str">
        <f>Jobs!A61</f>
        <v>KE012</v>
      </c>
      <c r="B65" t="str">
        <f>Jobs[[#This Row],[Product]]</f>
        <v xml:space="preserve"> برگ</v>
      </c>
      <c r="D65" s="2">
        <f>Jobs[[#This Row],[base price/t]]</f>
        <v>679995.31599999999</v>
      </c>
      <c r="E65" s="2">
        <f>Jobs[[#This Row],[Sugested Price/t]]</f>
        <v>2039985.9479999999</v>
      </c>
      <c r="F65" s="2">
        <v>1000000</v>
      </c>
    </row>
    <row r="66" spans="1:6" x14ac:dyDescent="0.25">
      <c r="A66" t="str">
        <f>Jobs!A62</f>
        <v>KE013</v>
      </c>
      <c r="B66" t="str">
        <f>Jobs[[#This Row],[Product]]</f>
        <v>توستر</v>
      </c>
      <c r="D66" s="2">
        <f>Jobs[[#This Row],[base price/t]]</f>
        <v>2506379.7667999994</v>
      </c>
      <c r="E66" s="2">
        <f>Jobs[[#This Row],[Sugested Price/t]]</f>
        <v>7519139.3003999982</v>
      </c>
      <c r="F66" s="2">
        <v>1000000</v>
      </c>
    </row>
    <row r="67" spans="1:6" x14ac:dyDescent="0.25">
      <c r="A67" t="str">
        <f>Jobs!A63</f>
        <v>KE014</v>
      </c>
      <c r="B67" t="str">
        <f>Jobs[[#This Row],[Product]]</f>
        <v xml:space="preserve"> ماینکرفت</v>
      </c>
      <c r="D67" s="2">
        <f>Jobs[[#This Row],[base price/t]]</f>
        <v>1917760.5719999999</v>
      </c>
      <c r="E67" s="2">
        <f>Jobs[[#This Row],[Sugested Price/t]]</f>
        <v>5753281.716</v>
      </c>
      <c r="F67" s="2">
        <v>1000000</v>
      </c>
    </row>
    <row r="68" spans="1:6" x14ac:dyDescent="0.25">
      <c r="A68" t="str">
        <f>Jobs!A64</f>
        <v>KE015</v>
      </c>
      <c r="B68" t="str">
        <f>Jobs[[#This Row],[Product]]</f>
        <v xml:space="preserve"> سنگ باستانی</v>
      </c>
      <c r="D68" s="2">
        <f>Jobs[[#This Row],[base price/t]]</f>
        <v>134397.6452</v>
      </c>
      <c r="E68" s="2">
        <f>Jobs[[#This Row],[Sugested Price/t]]</f>
        <v>403192.93559999997</v>
      </c>
      <c r="F68" s="2">
        <v>1000000</v>
      </c>
    </row>
    <row r="69" spans="1:6" x14ac:dyDescent="0.25">
      <c r="A69" t="str">
        <f>Jobs!A84</f>
        <v>CO001</v>
      </c>
      <c r="B69" t="str">
        <f>Jobs[[#This Row],[Product]]</f>
        <v xml:space="preserve"> پترن</v>
      </c>
      <c r="D69" s="2">
        <f>Jobs[[#This Row],[base price/t]]</f>
        <v>318025.34399999998</v>
      </c>
      <c r="E69" s="2">
        <f>Jobs[[#This Row],[Sugested Price/t]]</f>
        <v>954076.03199999989</v>
      </c>
      <c r="F69" s="2">
        <v>2000000</v>
      </c>
    </row>
    <row r="70" spans="1:6" x14ac:dyDescent="0.25">
      <c r="A70" t="str">
        <f>Jobs!A65</f>
        <v>CO002</v>
      </c>
      <c r="B70" t="str">
        <f>Jobs[[#This Row],[Product]]</f>
        <v xml:space="preserve"> وزنه</v>
      </c>
      <c r="D70" s="2">
        <f>Jobs[[#This Row],[base price/t]]</f>
        <v>1299801.048</v>
      </c>
      <c r="E70" s="2">
        <f>Jobs[[#This Row],[Sugested Price/t]]</f>
        <v>3899403.1439999999</v>
      </c>
      <c r="F70" s="2">
        <v>500000</v>
      </c>
    </row>
    <row r="71" spans="1:6" x14ac:dyDescent="0.25">
      <c r="A71" t="str">
        <f>Jobs!A66</f>
        <v>CO003</v>
      </c>
      <c r="B71" t="str">
        <f>Jobs[[#This Row],[Product]]</f>
        <v xml:space="preserve"> درخت</v>
      </c>
      <c r="D71" s="2">
        <f>Jobs[[#This Row],[base price/t]]</f>
        <v>377550.62800000003</v>
      </c>
      <c r="E71" s="2">
        <f>Jobs[[#This Row],[Sugested Price/t]]</f>
        <v>1132651.8840000001</v>
      </c>
      <c r="F71" s="2">
        <v>300000</v>
      </c>
    </row>
    <row r="72" spans="1:6" x14ac:dyDescent="0.25">
      <c r="A72" t="str">
        <f>Jobs!A67</f>
        <v>CO004</v>
      </c>
      <c r="B72" t="str">
        <f>Jobs[[#This Row],[Product]]</f>
        <v xml:space="preserve"> بافتنی</v>
      </c>
      <c r="D72" s="2">
        <f>Jobs[[#This Row],[base price/t]]</f>
        <v>753370.43599999999</v>
      </c>
      <c r="E72" s="2">
        <f>Jobs[[#This Row],[Sugested Price/t]]</f>
        <v>2260111.3080000002</v>
      </c>
      <c r="F72" s="2">
        <v>300000</v>
      </c>
    </row>
    <row r="73" spans="1:6" x14ac:dyDescent="0.25">
      <c r="A73" t="str">
        <f>Jobs!A68</f>
        <v>CO005</v>
      </c>
      <c r="B73" t="str">
        <f>Jobs[[#This Row],[Product]]</f>
        <v xml:space="preserve"> پترن 2</v>
      </c>
      <c r="D73" s="2">
        <f>Jobs[[#This Row],[base price/t]]</f>
        <v>119745.6988</v>
      </c>
      <c r="E73" s="2">
        <f>Jobs[[#This Row],[Sugested Price/t]]</f>
        <v>359237.09639999998</v>
      </c>
      <c r="F73" s="2">
        <v>300000</v>
      </c>
    </row>
    <row r="74" spans="1:6" x14ac:dyDescent="0.25">
      <c r="A74" t="str">
        <f>Jobs!A69</f>
        <v>CO006</v>
      </c>
      <c r="B74" t="str">
        <f>Jobs[[#This Row],[Product]]</f>
        <v xml:space="preserve"> بیسکوییت</v>
      </c>
      <c r="D74" s="2">
        <f>Jobs[[#This Row],[base price/t]]</f>
        <v>65252.641999999993</v>
      </c>
      <c r="E74" s="2">
        <f>Jobs[[#This Row],[Sugested Price/t]]</f>
        <v>195757.92599999998</v>
      </c>
      <c r="F74" s="2">
        <v>1000000</v>
      </c>
    </row>
    <row r="75" spans="1:6" x14ac:dyDescent="0.25">
      <c r="A75" t="str">
        <f>Jobs!A70</f>
        <v>CO007</v>
      </c>
      <c r="B75" t="str">
        <f>Jobs[[#This Row],[Product]]</f>
        <v xml:space="preserve"> گل فلکسی</v>
      </c>
      <c r="D75" s="2">
        <f>Jobs[[#This Row],[base price/t]]</f>
        <v>84483.672000000006</v>
      </c>
      <c r="E75" s="2">
        <f>Jobs[[#This Row],[Sugested Price/t]]</f>
        <v>253451.016</v>
      </c>
      <c r="F75" s="2">
        <v>300000</v>
      </c>
    </row>
    <row r="76" spans="1:6" x14ac:dyDescent="0.25">
      <c r="A76" t="str">
        <f>Jobs!A71</f>
        <v>CO008</v>
      </c>
      <c r="B76" t="str">
        <f>Jobs[[#This Row],[Product]]</f>
        <v>ژاپنی</v>
      </c>
      <c r="D76" s="2">
        <f>Jobs[[#This Row],[base price/t]]</f>
        <v>420127.41680000001</v>
      </c>
      <c r="E76" s="2">
        <f>Jobs[[#This Row],[Sugested Price/t]]</f>
        <v>1260382.2504</v>
      </c>
      <c r="F76" s="2">
        <v>400000</v>
      </c>
    </row>
    <row r="77" spans="1:6" x14ac:dyDescent="0.25">
      <c r="A77" t="str">
        <f>Jobs!A72</f>
        <v>CO009</v>
      </c>
      <c r="B77" t="str">
        <f>Jobs[[#This Row],[Product]]</f>
        <v xml:space="preserve"> بالش</v>
      </c>
      <c r="D77" s="2">
        <f>Jobs[[#This Row],[base price/t]]</f>
        <v>448299.85199999996</v>
      </c>
      <c r="E77" s="2">
        <f>Jobs[[#This Row],[Sugested Price/t]]</f>
        <v>1344899.5559999999</v>
      </c>
    </row>
    <row r="78" spans="1:6" x14ac:dyDescent="0.25">
      <c r="A78" s="35" t="str">
        <f>Jobs!A73</f>
        <v>CO010</v>
      </c>
      <c r="B78" s="35" t="str">
        <f>Jobs[[#This Row],[Product]]</f>
        <v xml:space="preserve"> نیلوفر آبی</v>
      </c>
      <c r="C78" s="35"/>
      <c r="D78" s="36">
        <f>Jobs[[#This Row],[base price/t]]</f>
        <v>518587.52399999998</v>
      </c>
      <c r="E78" s="36">
        <f>Jobs[[#This Row],[Sugested Price/t]]</f>
        <v>1555762.5719999999</v>
      </c>
      <c r="F78" s="36"/>
    </row>
    <row r="79" spans="1:6" x14ac:dyDescent="0.25">
      <c r="A79" t="str">
        <f>Jobs!A74</f>
        <v>CO011</v>
      </c>
      <c r="B79" t="str">
        <f>Jobs[[#This Row],[Product]]</f>
        <v xml:space="preserve"> گوسفند</v>
      </c>
      <c r="D79" s="2">
        <f>Jobs[[#This Row],[base price/t]]</f>
        <v>635504.68799999997</v>
      </c>
      <c r="E79" s="2">
        <f>Jobs[[#This Row],[Sugested Price/t]]</f>
        <v>1906514.0639999998</v>
      </c>
      <c r="F79" s="2">
        <v>1000000</v>
      </c>
    </row>
    <row r="80" spans="1:6" x14ac:dyDescent="0.25">
      <c r="A80" t="str">
        <f>Jobs!A75</f>
        <v>CO012</v>
      </c>
      <c r="B80" t="str">
        <f>Jobs[[#This Row],[Product]]</f>
        <v xml:space="preserve"> گلدان</v>
      </c>
      <c r="D80" s="2">
        <f>Jobs[[#This Row],[base price/t]]</f>
        <v>1001629.1376</v>
      </c>
      <c r="E80" s="2">
        <f>Jobs[[#This Row],[Sugested Price/t]]</f>
        <v>3004887.4128</v>
      </c>
      <c r="F80" s="2">
        <v>2000000</v>
      </c>
    </row>
    <row r="81" spans="1:6" x14ac:dyDescent="0.25">
      <c r="A81" t="str">
        <f>Jobs!A76</f>
        <v>CO013</v>
      </c>
      <c r="B81" t="str">
        <f>Jobs[[#This Row],[Product]]</f>
        <v>پترن 3</v>
      </c>
      <c r="D81" s="2">
        <f>Jobs[[#This Row],[base price/t]]</f>
        <v>418819.12800000003</v>
      </c>
      <c r="E81" s="2">
        <f>Jobs[[#This Row],[Sugested Price/t]]</f>
        <v>1256457.3840000001</v>
      </c>
      <c r="F81" s="2">
        <v>100000</v>
      </c>
    </row>
    <row r="82" spans="1:6" x14ac:dyDescent="0.25">
      <c r="A82" t="str">
        <f>Jobs!A77</f>
        <v>CO014</v>
      </c>
      <c r="B82" t="str">
        <f>Jobs[[#This Row],[Product]]</f>
        <v xml:space="preserve"> هندسی</v>
      </c>
      <c r="D82" s="2">
        <f>Jobs[[#This Row],[base price/t]]</f>
        <v>56980.560000000005</v>
      </c>
      <c r="E82" s="2">
        <f>Jobs[[#This Row],[Sugested Price/t]]</f>
        <v>170941.68000000002</v>
      </c>
      <c r="F82" s="2">
        <v>150000</v>
      </c>
    </row>
    <row r="83" spans="1:6" x14ac:dyDescent="0.25">
      <c r="A83" t="str">
        <f>Jobs!A78</f>
        <v>CO015</v>
      </c>
      <c r="B83" t="str">
        <f>Jobs[[#This Row],[Product]]</f>
        <v xml:space="preserve"> دونه برف</v>
      </c>
      <c r="D83" s="2">
        <f>Jobs[[#This Row],[base price/t]]</f>
        <v>44835.336000000003</v>
      </c>
      <c r="E83" s="2">
        <f>Jobs[[#This Row],[Sugested Price/t]]</f>
        <v>134506.008</v>
      </c>
      <c r="F83" s="2">
        <v>600000</v>
      </c>
    </row>
    <row r="84" spans="1:6" x14ac:dyDescent="0.25">
      <c r="A84" t="str">
        <f>Jobs!A79</f>
        <v>CO016</v>
      </c>
      <c r="B84" t="str">
        <f>Jobs[[#This Row],[Product]]</f>
        <v xml:space="preserve"> گرامافون</v>
      </c>
      <c r="D84" s="2">
        <f>Jobs[[#This Row],[base price/t]]</f>
        <v>0</v>
      </c>
      <c r="E84" s="2">
        <f>Jobs[[#This Row],[Sugested Price/t]]</f>
        <v>0</v>
      </c>
    </row>
    <row r="85" spans="1:6" x14ac:dyDescent="0.25">
      <c r="A85" t="str">
        <f>Jobs!A80</f>
        <v>CO017</v>
      </c>
      <c r="B85" t="str">
        <f>Jobs[[#This Row],[Product]]</f>
        <v xml:space="preserve"> آویز دیواری 1</v>
      </c>
      <c r="D85" s="2">
        <f>Jobs[[#This Row],[base price/t]]</f>
        <v>570321.02399999998</v>
      </c>
      <c r="E85" s="2">
        <f>Jobs[[#This Row],[Sugested Price/t]]</f>
        <v>1710963.0719999999</v>
      </c>
    </row>
    <row r="86" spans="1:6" x14ac:dyDescent="0.25">
      <c r="A86" t="str">
        <f>Jobs!A81</f>
        <v>CO018</v>
      </c>
      <c r="B86" t="str">
        <f>Jobs[[#This Row],[Product]]</f>
        <v xml:space="preserve"> اسکیت پارک ماژولار</v>
      </c>
      <c r="D86" s="2">
        <f>Jobs[[#This Row],[base price/t]]</f>
        <v>0</v>
      </c>
      <c r="E86" s="2">
        <f>Jobs[[#This Row],[Sugested Price/t]]</f>
        <v>0</v>
      </c>
    </row>
    <row r="87" spans="1:6" x14ac:dyDescent="0.25">
      <c r="A87" t="str">
        <f>Jobs!A82</f>
        <v>CO019</v>
      </c>
      <c r="B87" t="str">
        <f>Jobs[[#This Row],[Product]]</f>
        <v xml:space="preserve"> آویز دیواری 2</v>
      </c>
      <c r="D87" s="2">
        <f>Jobs[[#This Row],[base price/t]]</f>
        <v>324199.51199999999</v>
      </c>
      <c r="E87" s="2">
        <f>Jobs[[#This Row],[Sugested Price/t]]</f>
        <v>972598.53599999996</v>
      </c>
    </row>
    <row r="88" spans="1:6" x14ac:dyDescent="0.25">
      <c r="A88" t="str">
        <f>Jobs!A83</f>
        <v>CO020</v>
      </c>
      <c r="B88" t="str">
        <f>Jobs[[#This Row],[Product]]</f>
        <v xml:space="preserve"> مینی پارک 1</v>
      </c>
      <c r="D88" s="2">
        <f>Jobs[[#This Row],[base price/t]]</f>
        <v>564524.68799999997</v>
      </c>
      <c r="E88" s="2">
        <f>Jobs[[#This Row],[Sugested Price/t]]</f>
        <v>1693574.0639999998</v>
      </c>
    </row>
    <row r="89" spans="1:6" x14ac:dyDescent="0.25">
      <c r="A89" t="e">
        <f>Jobs!#REF!</f>
        <v>#REF!</v>
      </c>
      <c r="B89" t="str">
        <f>Jobs[[#This Row],[Product]]</f>
        <v xml:space="preserve"> مینی پارک 2</v>
      </c>
      <c r="D89" s="2">
        <f>Jobs[[#This Row],[base price/t]]</f>
        <v>3167822.1120000002</v>
      </c>
      <c r="E89" s="2">
        <f>Jobs[[#This Row],[Sugested Price/t]]</f>
        <v>9503466.3360000011</v>
      </c>
    </row>
    <row r="90" spans="1:6" x14ac:dyDescent="0.25">
      <c r="A90" t="str">
        <f>Jobs!A85</f>
        <v>SK001</v>
      </c>
      <c r="B90" t="str">
        <f>Jobs[[#This Row],[Product]]</f>
        <v xml:space="preserve"> مینی پارک 3</v>
      </c>
      <c r="D90" s="2">
        <f>Jobs[[#This Row],[base price/t]]</f>
        <v>1501338.3840000001</v>
      </c>
      <c r="E90" s="2">
        <f>Jobs[[#This Row],[Sugested Price/t]]</f>
        <v>4504015.1520000007</v>
      </c>
    </row>
    <row r="91" spans="1:6" x14ac:dyDescent="0.25">
      <c r="A91" t="str">
        <f>Jobs!A86</f>
        <v>SK002</v>
      </c>
      <c r="B91" t="str">
        <f>Jobs[[#This Row],[Product]]</f>
        <v xml:space="preserve"> ریل</v>
      </c>
      <c r="D91" s="2">
        <f>Jobs[[#This Row],[base price/t]]</f>
        <v>120862.56</v>
      </c>
      <c r="E91" s="2">
        <f>Jobs[[#This Row],[Sugested Price/t]]</f>
        <v>362587.68</v>
      </c>
    </row>
    <row r="92" spans="1:6" x14ac:dyDescent="0.25">
      <c r="A92" t="str">
        <f>Jobs!A87</f>
        <v>SK003</v>
      </c>
      <c r="B92" t="str">
        <f>Jobs[[#This Row],[Product]]</f>
        <v>. مینی پارک 4</v>
      </c>
      <c r="D92" s="2">
        <f>Jobs[[#This Row],[base price/t]]</f>
        <v>3244758.3168000001</v>
      </c>
      <c r="E92" s="2">
        <f>Jobs[[#This Row],[Sugested Price/t]]</f>
        <v>9734274.9504000004</v>
      </c>
    </row>
    <row r="93" spans="1:6" x14ac:dyDescent="0.25">
      <c r="A93" t="str">
        <f>Jobs!A88</f>
        <v>SK004</v>
      </c>
      <c r="B93" t="str">
        <f>Jobs[[#This Row],[Product]]</f>
        <v xml:space="preserve"> اسنوبرد انگشتی 1</v>
      </c>
      <c r="D93" s="2">
        <f>Jobs[[#This Row],[base price/t]]</f>
        <v>96768.672000000006</v>
      </c>
      <c r="E93" s="2">
        <f>Jobs[[#This Row],[Sugested Price/t]]</f>
        <v>290306.016</v>
      </c>
    </row>
    <row r="94" spans="1:6" x14ac:dyDescent="0.25">
      <c r="A94" t="str">
        <f>Jobs!A89</f>
        <v>SK005</v>
      </c>
      <c r="B94" t="str">
        <f>Jobs[[#This Row],[Product]]</f>
        <v xml:space="preserve"> اسنوبرد انگشتی 2</v>
      </c>
      <c r="D94" s="2">
        <f>Jobs[[#This Row],[base price/t]]</f>
        <v>171494.23200000002</v>
      </c>
      <c r="E94" s="2">
        <f>Jobs[[#This Row],[Sugested Price/t]]</f>
        <v>514482.69600000005</v>
      </c>
    </row>
    <row r="95" spans="1:6" x14ac:dyDescent="0.25">
      <c r="A95" t="str">
        <f>Jobs!A90</f>
        <v>SK006</v>
      </c>
      <c r="B95" t="str">
        <f>Jobs[[#This Row],[Product]]</f>
        <v>کالکشن برگ</v>
      </c>
      <c r="D95" s="2">
        <f>Jobs[[#This Row],[base price/t]]</f>
        <v>36542.578800000003</v>
      </c>
      <c r="E95" s="2">
        <f>Jobs[[#This Row],[Sugested Price/t]]</f>
        <v>109627.73640000001</v>
      </c>
    </row>
    <row r="96" spans="1:6" x14ac:dyDescent="0.25">
      <c r="A96" t="str">
        <f>Jobs!A91</f>
        <v>SK007</v>
      </c>
      <c r="B96" t="str">
        <f>Jobs[[#This Row],[Product]]</f>
        <v>زیپ</v>
      </c>
      <c r="D96" s="2">
        <f>Jobs[[#This Row],[base price/t]]</f>
        <v>36120.630000000005</v>
      </c>
      <c r="E96" s="2">
        <f>Jobs[[#This Row],[Sugested Price/t]]</f>
        <v>108361.89000000001</v>
      </c>
    </row>
    <row r="97" spans="1:5" x14ac:dyDescent="0.25">
      <c r="A97" t="str">
        <f>Jobs!A92</f>
        <v>SK008</v>
      </c>
      <c r="B97" t="str">
        <f>Jobs[[#This Row],[Product]]</f>
        <v>مار</v>
      </c>
      <c r="D97" s="2">
        <f>Jobs[[#This Row],[base price/t]]</f>
        <v>14763.730799999998</v>
      </c>
      <c r="E97" s="2">
        <f>Jobs[[#This Row],[Sugested Price/t]]</f>
        <v>44291.192399999993</v>
      </c>
    </row>
    <row r="98" spans="1:5" x14ac:dyDescent="0.25">
      <c r="A98" t="str">
        <f>Jobs!A93</f>
        <v>SK009</v>
      </c>
      <c r="B98" t="str">
        <f>Jobs[[#This Row],[Product]]</f>
        <v>کالکشن گربه آویزان</v>
      </c>
      <c r="D98" s="2">
        <f>Jobs[[#This Row],[base price/t]]</f>
        <v>20063.5344</v>
      </c>
      <c r="E98" s="2">
        <f>Jobs[[#This Row],[Sugested Price/t]]</f>
        <v>60190.603199999998</v>
      </c>
    </row>
    <row r="99" spans="1:5" x14ac:dyDescent="0.25">
      <c r="A99" t="str">
        <f>Jobs!A94</f>
        <v>SK010</v>
      </c>
      <c r="B99" t="str">
        <f>Jobs[[#This Row],[Product]]</f>
        <v>تمساح</v>
      </c>
      <c r="D99" s="2">
        <f>Jobs[[#This Row],[base price/t]]</f>
        <v>22985.508000000005</v>
      </c>
      <c r="E99" s="2">
        <f>Jobs[[#This Row],[Sugested Price/t]]</f>
        <v>68956.524000000019</v>
      </c>
    </row>
    <row r="100" spans="1:5" x14ac:dyDescent="0.25">
      <c r="A100" t="str">
        <f>Jobs!A95</f>
        <v>BO001</v>
      </c>
      <c r="B100" t="str">
        <f>Jobs[[#This Row],[Product]]</f>
        <v>دست هیولا</v>
      </c>
      <c r="D100" s="2">
        <f>Jobs[[#This Row],[base price/t]]</f>
        <v>46732.0308</v>
      </c>
      <c r="E100" s="2">
        <f>Jobs[[#This Row],[Sugested Price/t]]</f>
        <v>140196.09239999999</v>
      </c>
    </row>
    <row r="101" spans="1:5" x14ac:dyDescent="0.25">
      <c r="A101" t="str">
        <f>Jobs!A96</f>
        <v>BO002</v>
      </c>
      <c r="B101" t="str">
        <f>Jobs[[#This Row],[Product]]</f>
        <v>اژدها</v>
      </c>
      <c r="D101" s="2">
        <f>Jobs[[#This Row],[base price/t]]</f>
        <v>13702.962</v>
      </c>
      <c r="E101" s="2">
        <f>Jobs[[#This Row],[Sugested Price/t]]</f>
        <v>41108.885999999999</v>
      </c>
    </row>
    <row r="102" spans="1:5" x14ac:dyDescent="0.25">
      <c r="A102" t="str">
        <f>Jobs!A97</f>
        <v>BO003</v>
      </c>
      <c r="B102" t="str">
        <f>Jobs[[#This Row],[Product]]</f>
        <v>کالکشن ماینکرفت</v>
      </c>
      <c r="D102" s="2">
        <f>Jobs[[#This Row],[base price/t]]</f>
        <v>16155.7032</v>
      </c>
      <c r="E102" s="2">
        <f>Jobs[[#This Row],[Sugested Price/t]]</f>
        <v>48467.109599999996</v>
      </c>
    </row>
    <row r="103" spans="1:5" x14ac:dyDescent="0.25">
      <c r="A103" t="str">
        <f>Jobs!A98</f>
        <v>BO004</v>
      </c>
      <c r="B103" t="str">
        <f>Jobs[[#This Row],[Product]]</f>
        <v>کالکشن ارباب حلقه ها</v>
      </c>
      <c r="D103" s="2">
        <f>Jobs[[#This Row],[base price/t]]</f>
        <v>41329.797599999998</v>
      </c>
      <c r="E103" s="2">
        <f>Jobs[[#This Row],[Sugested Price/t]]</f>
        <v>123989.3928</v>
      </c>
    </row>
    <row r="104" spans="1:5" x14ac:dyDescent="0.25">
      <c r="A104" t="str">
        <f>Jobs!A99</f>
        <v>BO005</v>
      </c>
      <c r="B104" t="str">
        <f>Jobs[[#This Row],[Product]]</f>
        <v>کالکشن جنگ ستارگان</v>
      </c>
      <c r="D104" s="2">
        <f>Jobs[[#This Row],[base price/t]]</f>
        <v>51270.928800000002</v>
      </c>
      <c r="E104" s="2">
        <f>Jobs[[#This Row],[Sugested Price/t]]</f>
        <v>153812.78640000001</v>
      </c>
    </row>
    <row r="105" spans="1:5" x14ac:dyDescent="0.25">
      <c r="A105" t="str">
        <f>Jobs!A100</f>
        <v>BO006</v>
      </c>
      <c r="B105" t="str">
        <f>Jobs[[#This Row],[Product]]</f>
        <v>کالکشن ابر قهرمانان</v>
      </c>
      <c r="D105" s="2">
        <f>Jobs[[#This Row],[base price/t]]</f>
        <v>44945.846399999995</v>
      </c>
      <c r="E105" s="2">
        <f>Jobs[[#This Row],[Sugested Price/t]]</f>
        <v>134837.5392</v>
      </c>
    </row>
    <row r="106" spans="1:5" x14ac:dyDescent="0.25">
      <c r="A106" t="str">
        <f>Jobs!A101</f>
        <v>BO007</v>
      </c>
      <c r="B106" t="str">
        <f>Jobs[[#This Row],[Product]]</f>
        <v>کالکشن گل</v>
      </c>
      <c r="D106" s="2">
        <f>Jobs[[#This Row],[base price/t]]</f>
        <v>15402.550800000001</v>
      </c>
      <c r="E106" s="2">
        <f>Jobs[[#This Row],[Sugested Price/t]]</f>
        <v>46207.652400000006</v>
      </c>
    </row>
    <row r="107" spans="1:5" x14ac:dyDescent="0.25">
      <c r="A107" t="str">
        <f>Jobs!A102</f>
        <v>BO008</v>
      </c>
      <c r="B107" t="str">
        <f>Jobs[[#This Row],[Product]]</f>
        <v>کالکشن گربه</v>
      </c>
      <c r="D107" s="2">
        <f>Jobs[[#This Row],[base price/t]]</f>
        <v>14795.2896</v>
      </c>
      <c r="E107" s="2">
        <f>Jobs[[#This Row],[Sugested Price/t]]</f>
        <v>44385.868799999997</v>
      </c>
    </row>
    <row r="108" spans="1:5" x14ac:dyDescent="0.25">
      <c r="A108" t="str">
        <f>Jobs!A103</f>
        <v>BO009</v>
      </c>
      <c r="B108" t="str">
        <f>Jobs[[#This Row],[Product]]</f>
        <v>کالکشن هری پاتر</v>
      </c>
      <c r="D108" s="2">
        <f>Jobs[[#This Row],[base price/t]]</f>
        <v>12559.419600000001</v>
      </c>
      <c r="E108" s="2">
        <f>Jobs[[#This Row],[Sugested Price/t]]</f>
        <v>37678.258800000003</v>
      </c>
    </row>
    <row r="109" spans="1:5" x14ac:dyDescent="0.25">
      <c r="A109" t="str">
        <f>Jobs!A104</f>
        <v>BO010</v>
      </c>
      <c r="B109" t="str">
        <f>Jobs[[#This Row],[Product]]</f>
        <v>قایق</v>
      </c>
      <c r="D109" s="2">
        <f>Jobs[[#This Row],[base price/t]]</f>
        <v>16045.302</v>
      </c>
      <c r="E109" s="2">
        <f>Jobs[[#This Row],[Sugested Price/t]]</f>
        <v>48135.906000000003</v>
      </c>
    </row>
    <row r="110" spans="1:5" x14ac:dyDescent="0.25">
      <c r="A110" t="str">
        <f>Jobs!A105</f>
        <v>BO011</v>
      </c>
      <c r="B110" t="str">
        <f>Jobs[[#This Row],[Product]]</f>
        <v>موجی</v>
      </c>
      <c r="D110" s="2">
        <f>Jobs[[#This Row],[base price/t]]</f>
        <v>221929.34400000001</v>
      </c>
      <c r="E110" s="2">
        <f>Jobs[[#This Row],[Sugested Price/t]]</f>
        <v>665788.03200000001</v>
      </c>
    </row>
    <row r="111" spans="1:5" x14ac:dyDescent="0.25">
      <c r="A111" t="str">
        <f>Jobs!A106</f>
        <v>BO012</v>
      </c>
      <c r="B111" t="str">
        <f>Jobs[[#This Row],[Product]]</f>
        <v>برج گلوله</v>
      </c>
      <c r="D111" s="2">
        <f>Jobs[[#This Row],[base price/t]]</f>
        <v>326332.62479999999</v>
      </c>
      <c r="E111" s="2">
        <f>Jobs[[#This Row],[Sugested Price/t]]</f>
        <v>978997.87439999997</v>
      </c>
    </row>
    <row r="112" spans="1:5" x14ac:dyDescent="0.25">
      <c r="A112" t="str">
        <f>Jobs!A107</f>
        <v>BO013</v>
      </c>
      <c r="B112" t="str">
        <f>Jobs[[#This Row],[Product]]</f>
        <v>کسر</v>
      </c>
      <c r="D112" s="2">
        <f>Jobs[[#This Row],[base price/t]]</f>
        <v>616099.41119999997</v>
      </c>
      <c r="E112" s="2">
        <f>Jobs[[#This Row],[Sugested Price/t]]</f>
        <v>1848298.2335999999</v>
      </c>
    </row>
    <row r="113" spans="1:5" x14ac:dyDescent="0.25">
      <c r="A113" t="str">
        <f>Jobs!A108</f>
        <v>BO014</v>
      </c>
      <c r="B113" t="str">
        <f>Jobs[[#This Row],[Product]]</f>
        <v>روبیک مورب</v>
      </c>
      <c r="D113" s="2">
        <f>Jobs[[#This Row],[base price/t]]</f>
        <v>399744.94560000004</v>
      </c>
      <c r="E113" s="2">
        <f>Jobs[[#This Row],[Sugested Price/t]]</f>
        <v>1199234.8368000002</v>
      </c>
    </row>
    <row r="114" spans="1:5" x14ac:dyDescent="0.25">
      <c r="A114" t="str">
        <f>Jobs!A109</f>
        <v>BO015</v>
      </c>
      <c r="B114" t="str">
        <f>Jobs[[#This Row],[Product]]</f>
        <v>برج گربه</v>
      </c>
      <c r="D114" s="2">
        <f>Jobs[[#This Row],[base price/t]]</f>
        <v>741053.91359999997</v>
      </c>
      <c r="E114" s="2">
        <f>Jobs[[#This Row],[Sugested Price/t]]</f>
        <v>2223161.7407999998</v>
      </c>
    </row>
    <row r="115" spans="1:5" x14ac:dyDescent="0.25">
      <c r="A115" t="str">
        <f>Jobs!A110</f>
        <v>PT001</v>
      </c>
      <c r="B115" t="str">
        <f>Jobs[[#This Row],[Product]]</f>
        <v>کالکشن پازل گربه</v>
      </c>
      <c r="D115" s="2">
        <f>Jobs[[#This Row],[base price/t]]</f>
        <v>202457.56439999997</v>
      </c>
      <c r="E115" s="2">
        <f>Jobs[[#This Row],[Sugested Price/t]]</f>
        <v>607372.69319999986</v>
      </c>
    </row>
    <row r="116" spans="1:5" x14ac:dyDescent="0.25">
      <c r="A116" t="str">
        <f>Jobs!A111</f>
        <v>PT002</v>
      </c>
      <c r="B116" t="str">
        <f>Jobs[[#This Row],[Product]]</f>
        <v>قالب برف بازی</v>
      </c>
      <c r="D116" s="2">
        <f>Jobs[[#This Row],[base price/t]]</f>
        <v>311501.73600000009</v>
      </c>
      <c r="E116" s="2">
        <f>Jobs[[#This Row],[Sugested Price/t]]</f>
        <v>934505.20800000033</v>
      </c>
    </row>
    <row r="117" spans="1:5" x14ac:dyDescent="0.25">
      <c r="A117" t="str">
        <f>Jobs!A112</f>
        <v>PT003</v>
      </c>
      <c r="B117" t="str">
        <f>Jobs[[#This Row],[Product]]</f>
        <v>منجنیق برف بازی</v>
      </c>
      <c r="D117" s="2">
        <f>Jobs[[#This Row],[base price/t]]</f>
        <v>174159.47640000001</v>
      </c>
      <c r="E117" s="2">
        <f>Jobs[[#This Row],[Sugested Price/t]]</f>
        <v>522478.42920000001</v>
      </c>
    </row>
    <row r="118" spans="1:5" x14ac:dyDescent="0.25">
      <c r="A118" t="str">
        <f>Jobs!A113</f>
        <v>PT004</v>
      </c>
      <c r="B118" t="str">
        <f>Jobs[[#This Row],[Product]]</f>
        <v>پروانه پروازی</v>
      </c>
      <c r="D118" s="2">
        <f>Jobs[[#This Row],[base price/t]]</f>
        <v>11080.6332</v>
      </c>
      <c r="E118" s="2">
        <f>Jobs[[#This Row],[Sugested Price/t]]</f>
        <v>33241.899600000004</v>
      </c>
    </row>
    <row r="119" spans="1:5" x14ac:dyDescent="0.25">
      <c r="A119" t="str">
        <f>Jobs!A114</f>
        <v>PT005</v>
      </c>
      <c r="B119" t="str">
        <f>Jobs[[#This Row],[Product]]</f>
        <v>کیف اسکلت</v>
      </c>
      <c r="D119" s="2">
        <f>Jobs[[#This Row],[base price/t]]</f>
        <v>1048012.056</v>
      </c>
      <c r="E119" s="2">
        <f>Jobs[[#This Row],[Sugested Price/t]]</f>
        <v>3144036.1680000001</v>
      </c>
    </row>
    <row r="120" spans="1:5" x14ac:dyDescent="0.25">
      <c r="A120" t="str">
        <f>Jobs!A115</f>
        <v>PT006</v>
      </c>
      <c r="B120" t="str">
        <f>Jobs[[#This Row],[Product]]</f>
        <v>کیف گوتیک صورتی</v>
      </c>
      <c r="D120" s="2">
        <f>Jobs[[#This Row],[base price/t]]</f>
        <v>2522126.88</v>
      </c>
      <c r="E120" s="2">
        <f>Jobs[[#This Row],[Sugested Price/t]]</f>
        <v>7566380.6399999997</v>
      </c>
    </row>
    <row r="121" spans="1:5" x14ac:dyDescent="0.25">
      <c r="A121" t="str">
        <f>Jobs!A116</f>
        <v>PT007</v>
      </c>
      <c r="B121" t="str">
        <f>Jobs[[#This Row],[Product]]</f>
        <v>کیف گوتیک گرد</v>
      </c>
      <c r="D121" s="2">
        <f>Jobs[[#This Row],[base price/t]]</f>
        <v>2399569.5359999998</v>
      </c>
      <c r="E121" s="2">
        <f>Jobs[[#This Row],[Sugested Price/t]]</f>
        <v>7198708.6079999991</v>
      </c>
    </row>
    <row r="122" spans="1:5" x14ac:dyDescent="0.25">
      <c r="A122" t="str">
        <f>Jobs!A117</f>
        <v>PT008</v>
      </c>
      <c r="B122" t="str">
        <f>Jobs[[#This Row],[Product]]</f>
        <v>تابوت دیواری اکسسوری</v>
      </c>
      <c r="D122" s="2">
        <f>Jobs[[#This Row],[base price/t]]</f>
        <v>674065.39199999999</v>
      </c>
      <c r="E122" s="2">
        <f>Jobs[[#This Row],[Sugested Price/t]]</f>
        <v>2022196.176</v>
      </c>
    </row>
    <row r="123" spans="1:5" x14ac:dyDescent="0.25">
      <c r="A123" t="str">
        <f>Jobs!A118</f>
        <v>PT009</v>
      </c>
      <c r="B123" t="str">
        <f>Jobs[[#This Row],[Product]]</f>
        <v>جای سکه خانم</v>
      </c>
      <c r="D123" s="2">
        <f>Jobs[[#This Row],[base price/t]]</f>
        <v>756956.92800000007</v>
      </c>
      <c r="E123" s="2">
        <f>Jobs[[#This Row],[Sugested Price/t]]</f>
        <v>2270870.784</v>
      </c>
    </row>
    <row r="124" spans="1:5" x14ac:dyDescent="0.25">
      <c r="A124">
        <f>Jobs!A119</f>
        <v>0</v>
      </c>
      <c r="B124" t="str">
        <f>Jobs[[#This Row],[Product]]</f>
        <v>جای اکسسوری به شکل دست</v>
      </c>
      <c r="D124" s="2">
        <f>Jobs[[#This Row],[base price/t]]</f>
        <v>1251606.7200000002</v>
      </c>
      <c r="E124" s="2">
        <f>Jobs[[#This Row],[Sugested Price/t]]</f>
        <v>3754820.1600000006</v>
      </c>
    </row>
    <row r="125" spans="1:5" x14ac:dyDescent="0.25">
      <c r="A125">
        <f>Jobs!A120</f>
        <v>0</v>
      </c>
      <c r="B125" t="str">
        <f>Jobs[[#This Row],[Product]]</f>
        <v>ارگنایزر طبقاتی</v>
      </c>
      <c r="D125" s="2">
        <f>Jobs[[#This Row],[base price/t]]</f>
        <v>1558000.08</v>
      </c>
      <c r="E125" s="2">
        <f>Jobs[[#This Row],[Sugested Price/t]]</f>
        <v>4674000.24</v>
      </c>
    </row>
    <row r="126" spans="1:5" x14ac:dyDescent="0.25">
      <c r="A126">
        <f>Jobs!A121</f>
        <v>0</v>
      </c>
      <c r="B126" t="str">
        <f>Jobs[[#This Row],[Product]]</f>
        <v>تاج گوتیک</v>
      </c>
      <c r="D126" s="2">
        <f>Jobs[[#This Row],[base price/t]]</f>
        <v>259114.128</v>
      </c>
      <c r="E126" s="2">
        <f>Jobs[[#This Row],[Sugested Price/t]]</f>
        <v>777342.38399999996</v>
      </c>
    </row>
    <row r="127" spans="1:5" x14ac:dyDescent="0.25">
      <c r="A127">
        <f>Jobs!A122</f>
        <v>0</v>
      </c>
      <c r="B127" t="str">
        <f>Jobs[[#This Row],[Product]]</f>
        <v>کوزه گوتیک</v>
      </c>
      <c r="D127" s="2">
        <f>Jobs[[#This Row],[base price/t]]</f>
        <v>788148.81599999988</v>
      </c>
      <c r="E127" s="2">
        <f>Jobs[[#This Row],[Sugested Price/t]]</f>
        <v>2364446.4479999999</v>
      </c>
    </row>
    <row r="128" spans="1:5" x14ac:dyDescent="0.25">
      <c r="A128">
        <f>Jobs!A123</f>
        <v>0</v>
      </c>
      <c r="B128" t="str">
        <f>Jobs[[#This Row],[Product]]</f>
        <v>صفحه گوتیک</v>
      </c>
      <c r="D128" s="2">
        <f>Jobs[[#This Row],[base price/t]]</f>
        <v>221929.34400000001</v>
      </c>
      <c r="E128" s="2">
        <f>Jobs[[#This Row],[Sugested Price/t]]</f>
        <v>665788.03200000001</v>
      </c>
    </row>
    <row r="129" spans="1:5" x14ac:dyDescent="0.25">
      <c r="A129">
        <f>Jobs!A124</f>
        <v>0</v>
      </c>
      <c r="B129" t="str">
        <f>Jobs[[#This Row],[Product]]</f>
        <v>کیف گوتیک قلبی</v>
      </c>
      <c r="D129" s="2">
        <f>Jobs[[#This Row],[base price/t]]</f>
        <v>898916.92800000019</v>
      </c>
      <c r="E129" s="2">
        <f>Jobs[[#This Row],[Sugested Price/t]]</f>
        <v>2696750.7840000005</v>
      </c>
    </row>
    <row r="130" spans="1:5" x14ac:dyDescent="0.25">
      <c r="A130">
        <f>Jobs!A125</f>
        <v>0</v>
      </c>
      <c r="B130" t="str">
        <f>Jobs[[#This Row],[Product]]</f>
        <v>کیف گونیک قلب بال دار</v>
      </c>
      <c r="D130" s="2">
        <f>Jobs[[#This Row],[base price/t]]</f>
        <v>1008027.3840000001</v>
      </c>
      <c r="E130" s="2">
        <f>Jobs[[#This Row],[Sugested Price/t]]</f>
        <v>3024082.1520000002</v>
      </c>
    </row>
    <row r="131" spans="1:5" x14ac:dyDescent="0.25">
      <c r="A131">
        <f>Jobs!A126</f>
        <v>0</v>
      </c>
      <c r="B131" t="str">
        <f>Jobs[[#This Row],[Product]]</f>
        <v>در گل دار</v>
      </c>
      <c r="D131" s="2">
        <f>Jobs[[#This Row],[base price/t]]</f>
        <v>831682.48800000001</v>
      </c>
      <c r="E131" s="2">
        <f>Jobs[[#This Row],[Sugested Price/t]]</f>
        <v>2495047.4640000002</v>
      </c>
    </row>
    <row r="132" spans="1:5" x14ac:dyDescent="0.25">
      <c r="A132">
        <f>Jobs!A127</f>
        <v>0</v>
      </c>
      <c r="B132" t="str">
        <f>Jobs[[#This Row],[Product]]</f>
        <v>هولدر دست</v>
      </c>
      <c r="D132" s="2">
        <f>Jobs[[#This Row],[base price/t]]</f>
        <v>1296798.048</v>
      </c>
      <c r="E132" s="2">
        <f>Jobs[[#This Row],[Sugested Price/t]]</f>
        <v>3890394.1439999999</v>
      </c>
    </row>
    <row r="133" spans="1:5" x14ac:dyDescent="0.25">
      <c r="A133">
        <f>Jobs!A128</f>
        <v>0</v>
      </c>
      <c r="B133" t="str">
        <f>Jobs[[#This Row],[Product]]</f>
        <v>دکوری  کوتیک صاف</v>
      </c>
      <c r="D133" s="2">
        <f>Jobs[[#This Row],[base price/t]]</f>
        <v>303003.79200000002</v>
      </c>
      <c r="E133" s="2">
        <f>Jobs[[#This Row],[Sugested Price/t]]</f>
        <v>909011.37600000005</v>
      </c>
    </row>
    <row r="134" spans="1:5" x14ac:dyDescent="0.25">
      <c r="A134">
        <f>Jobs!A129</f>
        <v>0</v>
      </c>
      <c r="B134" t="str">
        <f>Jobs[[#This Row],[Product]]</f>
        <v>خفاش رو میزی</v>
      </c>
      <c r="D134" s="2">
        <f>Jobs[[#This Row],[base price/t]]</f>
        <v>479545.24800000002</v>
      </c>
      <c r="E134" s="2">
        <f>Jobs[[#This Row],[Sugested Price/t]]</f>
        <v>1438635.7439999999</v>
      </c>
    </row>
    <row r="135" spans="1:5" x14ac:dyDescent="0.25">
      <c r="A135">
        <f>Jobs!A130</f>
        <v>0</v>
      </c>
      <c r="B135" t="str">
        <f>Jobs[[#This Row],[Product]]</f>
        <v>دکوری  کوتیک کنج دیواری</v>
      </c>
      <c r="D135" s="2">
        <f>Jobs[[#This Row],[base price/t]]</f>
        <v>328989.02399999998</v>
      </c>
      <c r="E135" s="2">
        <f>Jobs[[#This Row],[Sugested Price/t]]</f>
        <v>986967.07199999993</v>
      </c>
    </row>
    <row r="136" spans="1:5" x14ac:dyDescent="0.25">
      <c r="A136">
        <f>Jobs!A131</f>
        <v>0</v>
      </c>
      <c r="B136" t="str">
        <f>Jobs[[#This Row],[Product]]</f>
        <v>جا کلیدی دیواری گوتیک</v>
      </c>
      <c r="D136" s="2">
        <f>Jobs[[#This Row],[base price/t]]</f>
        <v>822533.71199999994</v>
      </c>
      <c r="E136" s="2">
        <f>Jobs[[#This Row],[Sugested Price/t]]</f>
        <v>2467601.1359999999</v>
      </c>
    </row>
    <row r="137" spans="1:5" x14ac:dyDescent="0.25">
      <c r="A137">
        <f>Jobs!A132</f>
        <v>0</v>
      </c>
      <c r="B137" t="str">
        <f>Jobs[[#This Row],[Product]]</f>
        <v>پوپ رو میزی</v>
      </c>
      <c r="D137" s="2">
        <f>Jobs[[#This Row],[base price/t]]</f>
        <v>2115832.9919999996</v>
      </c>
      <c r="E137" s="2">
        <f>Jobs[[#This Row],[Sugested Price/t]]</f>
        <v>6347498.9759999989</v>
      </c>
    </row>
    <row r="138" spans="1:5" x14ac:dyDescent="0.25">
      <c r="A138">
        <f>Jobs!A133</f>
        <v>0</v>
      </c>
      <c r="B138" t="str">
        <f>Jobs[[#This Row],[Product]]</f>
        <v>رگال چند تکه</v>
      </c>
      <c r="D138" s="2">
        <f>Jobs[[#This Row],[base price/t]]</f>
        <v>1963473.4079999998</v>
      </c>
      <c r="E138" s="2">
        <f>Jobs[[#This Row],[Sugested Price/t]]</f>
        <v>5890420.2239999995</v>
      </c>
    </row>
    <row r="139" spans="1:5" x14ac:dyDescent="0.25">
      <c r="A139">
        <f>Jobs!A134</f>
        <v>0</v>
      </c>
      <c r="B139" t="str">
        <f>Jobs[[#This Row],[Product]]</f>
        <v>جا کارتی دندون</v>
      </c>
      <c r="D139" s="2">
        <f>Jobs[[#This Row],[base price/t]]</f>
        <v>348391.67999999993</v>
      </c>
      <c r="E139" s="2">
        <f>Jobs[[#This Row],[Sugested Price/t]]</f>
        <v>1045175.0399999998</v>
      </c>
    </row>
    <row r="140" spans="1:5" x14ac:dyDescent="0.25">
      <c r="A140">
        <f>Jobs!A135</f>
        <v>0</v>
      </c>
      <c r="B140" t="str">
        <f>Jobs[[#This Row],[Product]]</f>
        <v>نگهدارنده ملافه</v>
      </c>
      <c r="D140" s="2">
        <f>Jobs[[#This Row],[base price/t]]</f>
        <v>2206521.4079999998</v>
      </c>
      <c r="E140" s="2">
        <f>Jobs[[#This Row],[Sugested Price/t]]</f>
        <v>6619564.2239999995</v>
      </c>
    </row>
    <row r="141" spans="1:5" x14ac:dyDescent="0.25">
      <c r="A141">
        <f>Jobs!A136</f>
        <v>0</v>
      </c>
      <c r="B141" t="str">
        <f>Jobs[[#This Row],[Product]]</f>
        <v>جای دندون شیری</v>
      </c>
      <c r="D141" s="2">
        <f>Jobs[[#This Row],[base price/t]]</f>
        <v>179341.34400000001</v>
      </c>
      <c r="E141" s="2">
        <f>Jobs[[#This Row],[Sugested Price/t]]</f>
        <v>538024.03200000001</v>
      </c>
    </row>
    <row r="142" spans="1:5" x14ac:dyDescent="0.25">
      <c r="A142">
        <f>Jobs!A137</f>
        <v>0</v>
      </c>
      <c r="B142">
        <f>Jobs[[#This Row],[Product]]</f>
        <v>0</v>
      </c>
      <c r="D142" s="2">
        <f>Jobs[[#This Row],[base price/t]]</f>
        <v>0</v>
      </c>
      <c r="E142" s="2">
        <f>Jobs[[#This Row],[Sugested Price/t]]</f>
        <v>0</v>
      </c>
    </row>
    <row r="143" spans="1:5" x14ac:dyDescent="0.25">
      <c r="A143" t="e">
        <f>Jobs!#REF!</f>
        <v>#REF!</v>
      </c>
      <c r="B143">
        <f>Jobs[[#This Row],[Product]]</f>
        <v>0</v>
      </c>
      <c r="D143" s="2">
        <f>Jobs[[#This Row],[base price/t]]</f>
        <v>0</v>
      </c>
      <c r="E143" s="2">
        <f>Jobs[[#This Row],[Sugested Price/t]]</f>
        <v>0</v>
      </c>
    </row>
    <row r="144" spans="1:5" x14ac:dyDescent="0.25">
      <c r="A144">
        <f>Jobs!A138</f>
        <v>0</v>
      </c>
      <c r="B144">
        <f>Jobs[[#This Row],[Product]]</f>
        <v>0</v>
      </c>
      <c r="D144" s="2">
        <f>Jobs[[#This Row],[base price/t]]</f>
        <v>0</v>
      </c>
      <c r="E144" s="2">
        <f>Jobs[[#This Row],[Sugested Price/t]]</f>
        <v>0</v>
      </c>
    </row>
    <row r="145" spans="1:5" x14ac:dyDescent="0.25">
      <c r="A145">
        <f>Jobs!A139</f>
        <v>0</v>
      </c>
      <c r="B145">
        <f>Jobs[[#This Row],[Product]]</f>
        <v>0</v>
      </c>
      <c r="D145" s="2">
        <f>Jobs[[#This Row],[base price/t]]</f>
        <v>0</v>
      </c>
      <c r="E145" s="2">
        <f>Jobs[[#This Row],[Sugested Price/t]]</f>
        <v>0</v>
      </c>
    </row>
    <row r="146" spans="1:5" x14ac:dyDescent="0.25">
      <c r="A146">
        <f>Jobs!A140</f>
        <v>0</v>
      </c>
      <c r="B146">
        <f>Jobs[[#This Row],[Product]]</f>
        <v>0</v>
      </c>
      <c r="D146" s="2">
        <f>Jobs[[#This Row],[base price/t]]</f>
        <v>0</v>
      </c>
      <c r="E146" s="2">
        <f>Jobs[[#This Row],[Sugested Price/t]]</f>
        <v>0</v>
      </c>
    </row>
    <row r="147" spans="1:5" x14ac:dyDescent="0.25">
      <c r="A147">
        <f>Jobs!A141</f>
        <v>0</v>
      </c>
      <c r="B147">
        <f>Jobs[[#This Row],[Product]]</f>
        <v>0</v>
      </c>
      <c r="D147" s="2">
        <f>Jobs[[#This Row],[base price/t]]</f>
        <v>0</v>
      </c>
      <c r="E147" s="2">
        <f>Jobs[[#This Row],[Sugested Price/t]]</f>
        <v>0</v>
      </c>
    </row>
    <row r="148" spans="1:5" x14ac:dyDescent="0.25">
      <c r="A148" t="e">
        <f>Jobs!#REF!</f>
        <v>#REF!</v>
      </c>
      <c r="B148">
        <f>Jobs[[#This Row],[Product]]</f>
        <v>0</v>
      </c>
      <c r="D148" s="2">
        <f>Jobs[[#This Row],[base price/t]]</f>
        <v>0</v>
      </c>
      <c r="E148" s="2">
        <f>Jobs[[#This Row],[Sugested Price/t]]</f>
        <v>0</v>
      </c>
    </row>
    <row r="149" spans="1:5" x14ac:dyDescent="0.25">
      <c r="A149">
        <f>Jobs!A142</f>
        <v>0</v>
      </c>
      <c r="B149">
        <f>Jobs[[#This Row],[Product]]</f>
        <v>0</v>
      </c>
      <c r="D149" s="2">
        <f>Jobs[[#This Row],[base price/t]]</f>
        <v>0</v>
      </c>
      <c r="E149" s="2">
        <f>Jobs[[#This Row],[Sugested Price/t]]</f>
        <v>0</v>
      </c>
    </row>
    <row r="150" spans="1:5" x14ac:dyDescent="0.25">
      <c r="A150">
        <f>Jobs!A143</f>
        <v>0</v>
      </c>
      <c r="B150">
        <f>Jobs[[#This Row],[Product]]</f>
        <v>0</v>
      </c>
      <c r="D150" s="2">
        <f>Jobs[[#This Row],[base price/t]]</f>
        <v>0</v>
      </c>
      <c r="E150" s="2">
        <f>Jobs[[#This Row],[Sugested Price/t]]</f>
        <v>0</v>
      </c>
    </row>
    <row r="151" spans="1:5" x14ac:dyDescent="0.25">
      <c r="A151">
        <f>Jobs!A144</f>
        <v>0</v>
      </c>
      <c r="B151">
        <f>Jobs[[#This Row],[Product]]</f>
        <v>0</v>
      </c>
      <c r="D151" s="2">
        <f>Jobs[[#This Row],[base price/t]]</f>
        <v>0</v>
      </c>
      <c r="E151" s="2">
        <f>Jobs[[#This Row],[Sugested Price/t]]</f>
        <v>0</v>
      </c>
    </row>
    <row r="152" spans="1:5" x14ac:dyDescent="0.25">
      <c r="A152">
        <f>Jobs!A145</f>
        <v>0</v>
      </c>
      <c r="B152">
        <f>Jobs[[#This Row],[Product]]</f>
        <v>0</v>
      </c>
      <c r="D152" s="2">
        <f>Jobs[[#This Row],[base price/t]]</f>
        <v>0</v>
      </c>
      <c r="E152" s="2">
        <f>Jobs[[#This Row],[Sugested Price/t]]</f>
        <v>0</v>
      </c>
    </row>
    <row r="153" spans="1:5" x14ac:dyDescent="0.25">
      <c r="A153">
        <f>Jobs!A146</f>
        <v>0</v>
      </c>
      <c r="B153">
        <f>Jobs[[#This Row],[Product]]</f>
        <v>0</v>
      </c>
      <c r="D153" s="2">
        <f>Jobs[[#This Row],[base price/t]]</f>
        <v>0</v>
      </c>
      <c r="E153" s="2">
        <f>Jobs[[#This Row],[Sugested Price/t]]</f>
        <v>0</v>
      </c>
    </row>
    <row r="154" spans="1:5" x14ac:dyDescent="0.25">
      <c r="A154">
        <f>Jobs!A147</f>
        <v>0</v>
      </c>
      <c r="B154">
        <f>Jobs[[#This Row],[Product]]</f>
        <v>0</v>
      </c>
      <c r="D154" s="2">
        <f>Jobs[[#This Row],[base price/t]]</f>
        <v>0</v>
      </c>
      <c r="E154" s="2">
        <f>Jobs[[#This Row],[Sugested Price/t]]</f>
        <v>0</v>
      </c>
    </row>
    <row r="155" spans="1:5" x14ac:dyDescent="0.25">
      <c r="A155">
        <f>Jobs!A148</f>
        <v>0</v>
      </c>
      <c r="B155">
        <f>Jobs[[#This Row],[Product]]</f>
        <v>0</v>
      </c>
      <c r="D155" s="2">
        <f>Jobs[[#This Row],[base price/t]]</f>
        <v>0</v>
      </c>
      <c r="E155" s="2">
        <f>Jobs[[#This Row],[Sugested Price/t]]</f>
        <v>0</v>
      </c>
    </row>
    <row r="156" spans="1:5" x14ac:dyDescent="0.25">
      <c r="A156">
        <f>Jobs!A149</f>
        <v>0</v>
      </c>
      <c r="B156">
        <f>Jobs[[#This Row],[Product]]</f>
        <v>0</v>
      </c>
      <c r="D156" s="2">
        <f>Jobs[[#This Row],[base price/t]]</f>
        <v>0</v>
      </c>
      <c r="E156" s="2">
        <f>Jobs[[#This Row],[Sugested Price/t]]</f>
        <v>0</v>
      </c>
    </row>
    <row r="157" spans="1:5" x14ac:dyDescent="0.25">
      <c r="A157">
        <f>Jobs!A150</f>
        <v>0</v>
      </c>
      <c r="B157">
        <f>Jobs[[#This Row],[Product]]</f>
        <v>0</v>
      </c>
      <c r="D157" s="2">
        <f>Jobs[[#This Row],[base price/t]]</f>
        <v>0</v>
      </c>
      <c r="E157" s="2">
        <f>Jobs[[#This Row],[Sugested Price/t]]</f>
        <v>0</v>
      </c>
    </row>
    <row r="158" spans="1:5" x14ac:dyDescent="0.25">
      <c r="A158">
        <f>Jobs!A151</f>
        <v>0</v>
      </c>
      <c r="B158">
        <f>Jobs[[#This Row],[Product]]</f>
        <v>0</v>
      </c>
      <c r="D158" s="2">
        <f>Jobs[[#This Row],[base price/t]]</f>
        <v>0</v>
      </c>
      <c r="E158" s="2">
        <f>Jobs[[#This Row],[Sugested Price/t]]</f>
        <v>0</v>
      </c>
    </row>
    <row r="159" spans="1:5" x14ac:dyDescent="0.25">
      <c r="A159">
        <f>Jobs!A152</f>
        <v>0</v>
      </c>
      <c r="B159">
        <f>Jobs[[#This Row],[Product]]</f>
        <v>0</v>
      </c>
      <c r="D159" s="2">
        <f>Jobs[[#This Row],[base price/t]]</f>
        <v>0</v>
      </c>
      <c r="E159" s="2">
        <f>Jobs[[#This Row],[Sugested Price/t]]</f>
        <v>0</v>
      </c>
    </row>
    <row r="160" spans="1:5" x14ac:dyDescent="0.25">
      <c r="A160">
        <f>Jobs!A153</f>
        <v>0</v>
      </c>
      <c r="B160">
        <f>Jobs[[#This Row],[Product]]</f>
        <v>0</v>
      </c>
      <c r="D160" s="2">
        <f>Jobs[[#This Row],[base price/t]]</f>
        <v>0</v>
      </c>
      <c r="E160" s="2">
        <f>Jobs[[#This Row],[Sugested Price/t]]</f>
        <v>0</v>
      </c>
    </row>
    <row r="161" spans="1:5" x14ac:dyDescent="0.25">
      <c r="A161">
        <f>Jobs!A154</f>
        <v>0</v>
      </c>
      <c r="B161">
        <f>Jobs[[#This Row],[Product]]</f>
        <v>0</v>
      </c>
      <c r="D161" s="2">
        <f>Jobs[[#This Row],[base price/t]]</f>
        <v>0</v>
      </c>
      <c r="E161" s="2">
        <f>Jobs[[#This Row],[Sugested Price/t]]</f>
        <v>0</v>
      </c>
    </row>
    <row r="162" spans="1:5" x14ac:dyDescent="0.25">
      <c r="A162">
        <f>Jobs!A155</f>
        <v>0</v>
      </c>
      <c r="B162">
        <f>Jobs[[#This Row],[Product]]</f>
        <v>0</v>
      </c>
      <c r="D162" s="2">
        <f>Jobs[[#This Row],[base price/t]]</f>
        <v>0</v>
      </c>
      <c r="E162" s="2">
        <f>Jobs[[#This Row],[Sugested Price/t]]</f>
        <v>0</v>
      </c>
    </row>
    <row r="163" spans="1:5" x14ac:dyDescent="0.25">
      <c r="A163">
        <f>Jobs!A156</f>
        <v>0</v>
      </c>
      <c r="B163">
        <f>Jobs[[#This Row],[Product]]</f>
        <v>0</v>
      </c>
      <c r="D163" s="2">
        <f>Jobs[[#This Row],[base price/t]]</f>
        <v>0</v>
      </c>
      <c r="E163" s="2">
        <f>Jobs[[#This Row],[Sugested Price/t]]</f>
        <v>0</v>
      </c>
    </row>
    <row r="164" spans="1:5" x14ac:dyDescent="0.25">
      <c r="A164">
        <f>Jobs!A157</f>
        <v>0</v>
      </c>
      <c r="B164">
        <f>Jobs[[#This Row],[Product]]</f>
        <v>0</v>
      </c>
      <c r="D164" s="2">
        <f>Jobs[[#This Row],[base price/t]]</f>
        <v>0</v>
      </c>
      <c r="E164" s="2">
        <f>Jobs[[#This Row],[Sugested Price/t]]</f>
        <v>0</v>
      </c>
    </row>
    <row r="165" spans="1:5" x14ac:dyDescent="0.25">
      <c r="A165">
        <f>Jobs!A158</f>
        <v>0</v>
      </c>
      <c r="B165">
        <f>Jobs[[#This Row],[Product]]</f>
        <v>0</v>
      </c>
      <c r="D165" s="2">
        <f>Jobs[[#This Row],[base price/t]]</f>
        <v>0</v>
      </c>
      <c r="E165" s="2">
        <f>Jobs[[#This Row],[Sugested Price/t]]</f>
        <v>0</v>
      </c>
    </row>
    <row r="166" spans="1:5" x14ac:dyDescent="0.25">
      <c r="A166">
        <f>Jobs!A159</f>
        <v>0</v>
      </c>
      <c r="B166">
        <f>Jobs[[#This Row],[Product]]</f>
        <v>0</v>
      </c>
      <c r="D166" s="2">
        <f>Jobs[[#This Row],[base price/t]]</f>
        <v>0</v>
      </c>
      <c r="E166" s="2">
        <f>Jobs[[#This Row],[Sugested Price/t]]</f>
        <v>0</v>
      </c>
    </row>
    <row r="167" spans="1:5" x14ac:dyDescent="0.25">
      <c r="A167">
        <f>Jobs!A160</f>
        <v>0</v>
      </c>
      <c r="B167">
        <f>Jobs[[#This Row],[Product]]</f>
        <v>0</v>
      </c>
      <c r="D167" s="2">
        <f>Jobs[[#This Row],[base price/t]]</f>
        <v>0</v>
      </c>
      <c r="E167" s="2">
        <f>Jobs[[#This Row],[Sugested Price/t]]</f>
        <v>0</v>
      </c>
    </row>
    <row r="168" spans="1:5" x14ac:dyDescent="0.25">
      <c r="A168">
        <f>Jobs!A161</f>
        <v>0</v>
      </c>
      <c r="B168">
        <f>Jobs[[#This Row],[Product]]</f>
        <v>0</v>
      </c>
      <c r="D168" s="2">
        <f>Jobs[[#This Row],[base price/t]]</f>
        <v>0</v>
      </c>
      <c r="E168" s="2">
        <f>Jobs[[#This Row],[Sugested Price/t]]</f>
        <v>0</v>
      </c>
    </row>
    <row r="169" spans="1:5" x14ac:dyDescent="0.25">
      <c r="A169">
        <f>Jobs!A162</f>
        <v>0</v>
      </c>
      <c r="B169">
        <f>Jobs[[#This Row],[Product]]</f>
        <v>0</v>
      </c>
      <c r="D169" s="2">
        <f>Jobs[[#This Row],[base price/t]]</f>
        <v>0</v>
      </c>
      <c r="E169" s="2">
        <f>Jobs[[#This Row],[Sugested Price/t]]</f>
        <v>0</v>
      </c>
    </row>
    <row r="170" spans="1:5" x14ac:dyDescent="0.25">
      <c r="A170">
        <f>Jobs!A163</f>
        <v>0</v>
      </c>
      <c r="B170">
        <f>Jobs[[#This Row],[Product]]</f>
        <v>0</v>
      </c>
      <c r="D170" s="2">
        <f>Jobs[[#This Row],[base price/t]]</f>
        <v>0</v>
      </c>
      <c r="E170" s="2">
        <f>Jobs[[#This Row],[Sugested Price/t]]</f>
        <v>0</v>
      </c>
    </row>
    <row r="171" spans="1:5" x14ac:dyDescent="0.25">
      <c r="A171">
        <f>Jobs!A164</f>
        <v>0</v>
      </c>
      <c r="B171">
        <f>Jobs[[#This Row],[Product]]</f>
        <v>0</v>
      </c>
      <c r="D171" s="2">
        <f>Jobs[[#This Row],[base price/t]]</f>
        <v>0</v>
      </c>
      <c r="E171" s="2">
        <f>Jobs[[#This Row],[Sugested Price/t]]</f>
        <v>0</v>
      </c>
    </row>
    <row r="172" spans="1:5" x14ac:dyDescent="0.25">
      <c r="A172">
        <f>Jobs!A165</f>
        <v>0</v>
      </c>
      <c r="B172">
        <f>Jobs[[#This Row],[Product]]</f>
        <v>0</v>
      </c>
      <c r="D172" s="2">
        <f>Jobs[[#This Row],[base price/t]]</f>
        <v>0</v>
      </c>
      <c r="E172" s="2">
        <f>Jobs[[#This Row],[Sugested Price/t]]</f>
        <v>0</v>
      </c>
    </row>
    <row r="173" spans="1:5" x14ac:dyDescent="0.25">
      <c r="A173">
        <f>Jobs!A166</f>
        <v>0</v>
      </c>
      <c r="B173">
        <f>Jobs[[#This Row],[Product]]</f>
        <v>0</v>
      </c>
      <c r="D173" s="2">
        <f>Jobs[[#This Row],[base price/t]]</f>
        <v>0</v>
      </c>
      <c r="E173" s="2">
        <f>Jobs[[#This Row],[Sugested Price/t]]</f>
        <v>0</v>
      </c>
    </row>
    <row r="174" spans="1:5" x14ac:dyDescent="0.25">
      <c r="A174">
        <f>Jobs!A167</f>
        <v>0</v>
      </c>
      <c r="B174">
        <f>Jobs[[#This Row],[Product]]</f>
        <v>0</v>
      </c>
      <c r="D174" s="2">
        <f>Jobs[[#This Row],[base price/t]]</f>
        <v>0</v>
      </c>
      <c r="E174" s="2">
        <f>Jobs[[#This Row],[Sugested Price/t]]</f>
        <v>0</v>
      </c>
    </row>
    <row r="175" spans="1:5" x14ac:dyDescent="0.25">
      <c r="A175">
        <f>Jobs!A168</f>
        <v>0</v>
      </c>
      <c r="B175" t="e">
        <f>Jobs[[#This Row],[Product]]</f>
        <v>#VALUE!</v>
      </c>
      <c r="D175" s="2" t="e">
        <f>Jobs[[#This Row],[base price/t]]</f>
        <v>#VALUE!</v>
      </c>
      <c r="E175" s="2" t="e">
        <f>Jobs[[#This Row],[Sugested Price/t]]</f>
        <v>#VALUE!</v>
      </c>
    </row>
    <row r="176" spans="1:5" x14ac:dyDescent="0.25">
      <c r="A176">
        <f>Jobs!A169</f>
        <v>0</v>
      </c>
      <c r="B176" t="e">
        <f>Jobs[[#This Row],[Product]]</f>
        <v>#VALUE!</v>
      </c>
      <c r="D176" s="2" t="e">
        <f>Jobs[[#This Row],[base price/t]]</f>
        <v>#VALUE!</v>
      </c>
      <c r="E176" s="2" t="e">
        <f>Jobs[[#This Row],[Sugested Price/t]]</f>
        <v>#VALUE!</v>
      </c>
    </row>
    <row r="177" spans="1:5" x14ac:dyDescent="0.25">
      <c r="A177">
        <f>Jobs!A170</f>
        <v>0</v>
      </c>
      <c r="B177" t="e">
        <f>Jobs[[#This Row],[Product]]</f>
        <v>#VALUE!</v>
      </c>
      <c r="D177" s="2" t="e">
        <f>Jobs[[#This Row],[base price/t]]</f>
        <v>#VALUE!</v>
      </c>
      <c r="E177" s="2" t="e">
        <f>Jobs[[#This Row],[Sugested Price/t]]</f>
        <v>#VALUE!</v>
      </c>
    </row>
    <row r="178" spans="1:5" x14ac:dyDescent="0.25">
      <c r="A178">
        <f>Jobs!A171</f>
        <v>0</v>
      </c>
      <c r="B178" t="e">
        <f>Jobs[[#This Row],[Product]]</f>
        <v>#VALUE!</v>
      </c>
      <c r="D178" s="2" t="e">
        <f>Jobs[[#This Row],[base price/t]]</f>
        <v>#VALUE!</v>
      </c>
      <c r="E178" s="2" t="e">
        <f>Jobs[[#This Row],[Sugested Price/t]]</f>
        <v>#VALUE!</v>
      </c>
    </row>
    <row r="179" spans="1:5" x14ac:dyDescent="0.25">
      <c r="A179">
        <f>Jobs!A172</f>
        <v>0</v>
      </c>
      <c r="B179" t="e">
        <f>Jobs[[#This Row],[Product]]</f>
        <v>#VALUE!</v>
      </c>
      <c r="D179" s="2" t="e">
        <f>Jobs[[#This Row],[base price/t]]</f>
        <v>#VALUE!</v>
      </c>
      <c r="E179" s="2" t="e">
        <f>Jobs[[#This Row],[Sugested Price/t]]</f>
        <v>#VALUE!</v>
      </c>
    </row>
    <row r="180" spans="1:5" x14ac:dyDescent="0.25">
      <c r="A180">
        <f>Jobs!A173</f>
        <v>0</v>
      </c>
      <c r="B180" t="e">
        <f>Jobs[[#This Row],[Product]]</f>
        <v>#VALUE!</v>
      </c>
      <c r="D180" s="2" t="e">
        <f>Jobs[[#This Row],[base price/t]]</f>
        <v>#VALUE!</v>
      </c>
      <c r="E180" s="2" t="e">
        <f>Jobs[[#This Row],[Sugested Price/t]]</f>
        <v>#VALUE!</v>
      </c>
    </row>
    <row r="181" spans="1:5" x14ac:dyDescent="0.25">
      <c r="A181">
        <f>Jobs!A174</f>
        <v>0</v>
      </c>
      <c r="B181" t="e">
        <f>Jobs[[#This Row],[Product]]</f>
        <v>#VALUE!</v>
      </c>
      <c r="D181" s="2" t="e">
        <f>Jobs[[#This Row],[base price/t]]</f>
        <v>#VALUE!</v>
      </c>
      <c r="E181" s="2" t="e">
        <f>Jobs[[#This Row],[Sugested Price/t]]</f>
        <v>#VALUE!</v>
      </c>
    </row>
    <row r="182" spans="1:5" x14ac:dyDescent="0.25">
      <c r="A182">
        <f>Jobs!A175</f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34"/>
  <sheetViews>
    <sheetView topLeftCell="F1" workbookViewId="0">
      <selection activeCell="X39" sqref="X39"/>
    </sheetView>
  </sheetViews>
  <sheetFormatPr defaultRowHeight="15" x14ac:dyDescent="0.25"/>
  <cols>
    <col min="1" max="1" width="13.140625" hidden="1" customWidth="1"/>
    <col min="2" max="2" width="18.42578125" hidden="1" customWidth="1"/>
    <col min="3" max="3" width="15.7109375" hidden="1" customWidth="1"/>
    <col min="4" max="4" width="21" hidden="1" customWidth="1"/>
    <col min="5" max="5" width="17.5703125" hidden="1" customWidth="1"/>
  </cols>
  <sheetData>
    <row r="2" spans="1:5" x14ac:dyDescent="0.25">
      <c r="A2" s="29" t="s">
        <v>83</v>
      </c>
      <c r="B2" t="s">
        <v>87</v>
      </c>
      <c r="C2" t="s">
        <v>84</v>
      </c>
      <c r="D2" t="s">
        <v>88</v>
      </c>
      <c r="E2" t="s">
        <v>89</v>
      </c>
    </row>
    <row r="3" spans="1:5" x14ac:dyDescent="0.25">
      <c r="A3" s="30" t="s">
        <v>46</v>
      </c>
      <c r="B3" s="2">
        <v>9434.650333333333</v>
      </c>
      <c r="C3" s="2">
        <v>3430.3500000000004</v>
      </c>
      <c r="D3" s="2">
        <v>18869.30066666667</v>
      </c>
      <c r="E3" s="3">
        <v>2.0000000000000004</v>
      </c>
    </row>
    <row r="4" spans="1:5" x14ac:dyDescent="0.25">
      <c r="A4" s="30" t="s">
        <v>47</v>
      </c>
      <c r="B4" s="2">
        <v>467768.81970000005</v>
      </c>
      <c r="C4" s="2">
        <v>225588.82500000004</v>
      </c>
      <c r="D4" s="2">
        <v>935537.63939999999</v>
      </c>
      <c r="E4" s="3">
        <v>1.9999999999999998</v>
      </c>
    </row>
    <row r="5" spans="1:5" x14ac:dyDescent="0.25">
      <c r="A5" s="30" t="s">
        <v>48</v>
      </c>
      <c r="B5" s="2">
        <v>16882.620299999999</v>
      </c>
      <c r="C5" s="2">
        <v>6704.7750000000005</v>
      </c>
      <c r="D5" s="2">
        <v>33765.240600000005</v>
      </c>
      <c r="E5" s="3">
        <v>2.0000000000000004</v>
      </c>
    </row>
    <row r="6" spans="1:5" x14ac:dyDescent="0.25">
      <c r="A6" s="30" t="s">
        <v>49</v>
      </c>
      <c r="B6" s="2">
        <v>297322.71659999999</v>
      </c>
      <c r="C6" s="2">
        <v>164899.34999999998</v>
      </c>
      <c r="D6" s="2">
        <v>594645.43320000009</v>
      </c>
      <c r="E6" s="3">
        <v>2.0000000000000004</v>
      </c>
    </row>
    <row r="7" spans="1:5" x14ac:dyDescent="0.25">
      <c r="A7" s="30" t="s">
        <v>50</v>
      </c>
      <c r="B7" s="2">
        <v>753568.6976999999</v>
      </c>
      <c r="C7" s="2">
        <v>366085.125</v>
      </c>
      <c r="D7" s="2">
        <v>1507137.3953999998</v>
      </c>
      <c r="E7" s="3">
        <v>2</v>
      </c>
    </row>
    <row r="8" spans="1:5" x14ac:dyDescent="0.25">
      <c r="A8" s="30" t="s">
        <v>51</v>
      </c>
      <c r="B8" s="2">
        <v>260843.11890000006</v>
      </c>
      <c r="C8" s="2">
        <v>135515.625</v>
      </c>
      <c r="D8" s="2">
        <v>521686.23780000006</v>
      </c>
      <c r="E8" s="3">
        <v>1.9999999999999998</v>
      </c>
    </row>
    <row r="9" spans="1:5" x14ac:dyDescent="0.25">
      <c r="A9" s="30" t="s">
        <v>52</v>
      </c>
      <c r="B9" s="2">
        <v>14649.125400000001</v>
      </c>
      <c r="C9" s="2">
        <v>5647.95</v>
      </c>
      <c r="D9" s="2">
        <v>29298.250799999998</v>
      </c>
      <c r="E9" s="3">
        <v>1.9999999999999998</v>
      </c>
    </row>
    <row r="10" spans="1:5" x14ac:dyDescent="0.25">
      <c r="A10" s="30" t="s">
        <v>53</v>
      </c>
      <c r="B10" s="2">
        <v>20542.567500000001</v>
      </c>
      <c r="C10" s="2">
        <v>7536.3749999999991</v>
      </c>
      <c r="D10" s="2">
        <v>41085.134999999995</v>
      </c>
      <c r="E10" s="3">
        <v>1.9999999999999996</v>
      </c>
    </row>
    <row r="11" spans="1:5" x14ac:dyDescent="0.25">
      <c r="A11" s="30" t="s">
        <v>54</v>
      </c>
      <c r="B11" s="2">
        <v>17075.986199999999</v>
      </c>
      <c r="C11" s="2">
        <v>4539.1499999999996</v>
      </c>
      <c r="D11" s="2">
        <v>34151.972399999999</v>
      </c>
      <c r="E11" s="3">
        <v>2</v>
      </c>
    </row>
    <row r="12" spans="1:5" x14ac:dyDescent="0.25">
      <c r="A12" s="30" t="s">
        <v>55</v>
      </c>
      <c r="B12" s="2">
        <v>284457.53700000001</v>
      </c>
      <c r="C12" s="2">
        <v>116320.05000000002</v>
      </c>
      <c r="D12" s="2">
        <v>568915.07400000002</v>
      </c>
      <c r="E12" s="3">
        <v>2</v>
      </c>
    </row>
    <row r="13" spans="1:5" x14ac:dyDescent="0.25">
      <c r="A13" s="30" t="s">
        <v>56</v>
      </c>
      <c r="B13" s="2">
        <v>12408.0957</v>
      </c>
      <c r="C13" s="2">
        <v>5907.8249999999998</v>
      </c>
      <c r="D13" s="2">
        <v>24816.191400000003</v>
      </c>
      <c r="E13" s="3">
        <v>2.0000000000000004</v>
      </c>
    </row>
    <row r="14" spans="1:5" x14ac:dyDescent="0.25">
      <c r="A14" s="30" t="s">
        <v>57</v>
      </c>
      <c r="B14" s="2">
        <v>291179.88899999997</v>
      </c>
      <c r="C14" s="2">
        <v>151247.25</v>
      </c>
      <c r="D14" s="2">
        <v>582359.77799999993</v>
      </c>
      <c r="E14" s="3">
        <v>2</v>
      </c>
    </row>
    <row r="15" spans="1:5" x14ac:dyDescent="0.25">
      <c r="A15" s="30" t="s">
        <v>58</v>
      </c>
      <c r="B15" s="2">
        <v>484386.08399999997</v>
      </c>
      <c r="C15" s="2">
        <v>266805</v>
      </c>
      <c r="D15" s="2">
        <v>968772.16799999983</v>
      </c>
      <c r="E15" s="3">
        <v>1.9999999999999998</v>
      </c>
    </row>
    <row r="16" spans="1:5" x14ac:dyDescent="0.25">
      <c r="A16" s="30" t="s">
        <v>59</v>
      </c>
      <c r="B16" s="2">
        <v>68446.287000000011</v>
      </c>
      <c r="C16" s="2">
        <v>32813.550000000003</v>
      </c>
      <c r="D16" s="2">
        <v>136892.57400000002</v>
      </c>
      <c r="E16" s="3">
        <v>2</v>
      </c>
    </row>
    <row r="17" spans="1:5" x14ac:dyDescent="0.25">
      <c r="A17" s="30" t="s">
        <v>60</v>
      </c>
      <c r="B17" s="2">
        <v>101280.57030000001</v>
      </c>
      <c r="C17" s="2">
        <v>46829.474999999999</v>
      </c>
      <c r="D17" s="2">
        <v>202561.14059999998</v>
      </c>
      <c r="E17" s="3">
        <v>1.9999999999999998</v>
      </c>
    </row>
    <row r="18" spans="1:5" x14ac:dyDescent="0.25">
      <c r="A18" s="30" t="s">
        <v>62</v>
      </c>
      <c r="B18" s="2">
        <v>105385.15260000003</v>
      </c>
      <c r="C18" s="2">
        <v>56929.950000000004</v>
      </c>
      <c r="D18" s="2">
        <v>210770.30520000006</v>
      </c>
      <c r="E18" s="3">
        <v>2</v>
      </c>
    </row>
    <row r="19" spans="1:5" x14ac:dyDescent="0.25">
      <c r="A19" s="30" t="s">
        <v>63</v>
      </c>
      <c r="B19" s="2">
        <v>48885.372900000002</v>
      </c>
      <c r="C19" s="2">
        <v>23717.924999999999</v>
      </c>
      <c r="D19" s="2">
        <v>97770.74579999999</v>
      </c>
      <c r="E19" s="3">
        <v>1.9999999999999998</v>
      </c>
    </row>
    <row r="20" spans="1:5" x14ac:dyDescent="0.25">
      <c r="A20" s="30" t="s">
        <v>64</v>
      </c>
      <c r="B20" s="2">
        <v>187921.02420000001</v>
      </c>
      <c r="C20" s="2">
        <v>106202.25</v>
      </c>
      <c r="D20" s="2">
        <v>375842.04840000009</v>
      </c>
      <c r="E20" s="3">
        <v>2.0000000000000004</v>
      </c>
    </row>
    <row r="21" spans="1:5" x14ac:dyDescent="0.25">
      <c r="A21" s="30" t="s">
        <v>65</v>
      </c>
      <c r="B21" s="2">
        <v>93757.891499999998</v>
      </c>
      <c r="C21" s="2">
        <v>48977.775000000001</v>
      </c>
      <c r="D21" s="2">
        <v>187515.78299999997</v>
      </c>
      <c r="E21" s="3">
        <v>1.9999999999999998</v>
      </c>
    </row>
    <row r="22" spans="1:5" x14ac:dyDescent="0.25">
      <c r="A22" s="30" t="s">
        <v>66</v>
      </c>
      <c r="B22" s="2">
        <v>170017.76610000001</v>
      </c>
      <c r="C22" s="2">
        <v>80197.425000000003</v>
      </c>
      <c r="D22" s="2">
        <v>340035.53220000002</v>
      </c>
      <c r="E22" s="3">
        <v>2</v>
      </c>
    </row>
    <row r="23" spans="1:5" x14ac:dyDescent="0.25">
      <c r="A23" s="30" t="s">
        <v>67</v>
      </c>
      <c r="B23" s="2">
        <v>23055.668999999994</v>
      </c>
      <c r="C23" s="2">
        <v>11122.65</v>
      </c>
      <c r="D23" s="2">
        <v>46111.337999999989</v>
      </c>
      <c r="E23" s="3">
        <v>2</v>
      </c>
    </row>
    <row r="24" spans="1:5" x14ac:dyDescent="0.25">
      <c r="A24" s="30" t="s">
        <v>68</v>
      </c>
      <c r="B24" s="2">
        <v>66621.964500000002</v>
      </c>
      <c r="C24" s="2">
        <v>31410.225000000002</v>
      </c>
      <c r="D24" s="2">
        <v>133243.929</v>
      </c>
      <c r="E24" s="3">
        <v>2</v>
      </c>
    </row>
    <row r="25" spans="1:5" x14ac:dyDescent="0.25">
      <c r="A25" s="30" t="s">
        <v>69</v>
      </c>
      <c r="B25" s="2">
        <v>290008.5552</v>
      </c>
      <c r="C25" s="2">
        <v>158281.20000000001</v>
      </c>
      <c r="D25" s="2">
        <v>580017.11039999989</v>
      </c>
      <c r="E25" s="3">
        <v>1.9999999999999996</v>
      </c>
    </row>
    <row r="26" spans="1:5" x14ac:dyDescent="0.25">
      <c r="A26" s="30" t="s">
        <v>70</v>
      </c>
      <c r="B26" s="2">
        <v>367655.48820000008</v>
      </c>
      <c r="C26" s="2">
        <v>188253.45</v>
      </c>
      <c r="D26" s="2">
        <v>735310.97640000028</v>
      </c>
      <c r="E26" s="3">
        <v>2.0000000000000004</v>
      </c>
    </row>
    <row r="27" spans="1:5" x14ac:dyDescent="0.25">
      <c r="A27" s="30" t="s">
        <v>71</v>
      </c>
      <c r="B27" s="2">
        <v>8305.2332999999999</v>
      </c>
      <c r="C27" s="2">
        <v>3413.0250000000001</v>
      </c>
      <c r="D27" s="2">
        <v>16610.4666</v>
      </c>
      <c r="E27" s="3">
        <v>2</v>
      </c>
    </row>
    <row r="28" spans="1:5" x14ac:dyDescent="0.25">
      <c r="A28" s="30" t="s">
        <v>72</v>
      </c>
      <c r="B28" s="2">
        <v>0</v>
      </c>
      <c r="C28" s="2">
        <v>0</v>
      </c>
      <c r="D28" s="2">
        <v>0</v>
      </c>
      <c r="E28" s="3">
        <v>0</v>
      </c>
    </row>
    <row r="29" spans="1:5" x14ac:dyDescent="0.25">
      <c r="A29" s="30" t="s">
        <v>73</v>
      </c>
      <c r="B29" s="2">
        <v>0</v>
      </c>
      <c r="C29" s="2">
        <v>0</v>
      </c>
      <c r="D29" s="2">
        <v>0</v>
      </c>
      <c r="E29" s="3">
        <v>0</v>
      </c>
    </row>
    <row r="30" spans="1:5" x14ac:dyDescent="0.25">
      <c r="A30" s="30" t="s">
        <v>74</v>
      </c>
      <c r="B30" s="2">
        <v>0</v>
      </c>
      <c r="C30" s="2">
        <v>0</v>
      </c>
      <c r="D30" s="2">
        <v>0</v>
      </c>
      <c r="E30" s="3">
        <v>0</v>
      </c>
    </row>
    <row r="31" spans="1:5" x14ac:dyDescent="0.25">
      <c r="A31" s="30" t="s">
        <v>75</v>
      </c>
      <c r="B31" s="2">
        <v>0</v>
      </c>
      <c r="C31" s="2">
        <v>0</v>
      </c>
      <c r="D31" s="2">
        <v>0</v>
      </c>
      <c r="E31" s="3">
        <v>0</v>
      </c>
    </row>
    <row r="32" spans="1:5" x14ac:dyDescent="0.25">
      <c r="A32" s="30" t="s">
        <v>76</v>
      </c>
      <c r="B32" s="2">
        <v>0</v>
      </c>
      <c r="C32" s="2">
        <v>0</v>
      </c>
      <c r="D32" s="2">
        <v>0</v>
      </c>
      <c r="E32" s="3">
        <v>0</v>
      </c>
    </row>
    <row r="33" spans="1:5" x14ac:dyDescent="0.25">
      <c r="A33" s="30" t="s">
        <v>85</v>
      </c>
      <c r="B33" s="2">
        <v>0</v>
      </c>
      <c r="C33" s="2">
        <v>0</v>
      </c>
      <c r="D33" s="2">
        <v>0</v>
      </c>
      <c r="E33" s="3">
        <v>0</v>
      </c>
    </row>
    <row r="34" spans="1:5" x14ac:dyDescent="0.25">
      <c r="A34" s="30" t="s">
        <v>86</v>
      </c>
      <c r="B34" s="2">
        <v>4461860.8831333332</v>
      </c>
      <c r="C34" s="2">
        <v>2248376.5499999998</v>
      </c>
      <c r="D34" s="2">
        <v>8923721.7662666664</v>
      </c>
      <c r="E34" s="3">
        <v>50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AB864F-AB5E-421D-8A94-E9818310DD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Materials</vt:lpstr>
      <vt:lpstr>Jobs</vt:lpstr>
      <vt:lpstr>final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barbod marzban</dc:creator>
  <cp:lastModifiedBy>barbod marzban</cp:lastModifiedBy>
  <dcterms:created xsi:type="dcterms:W3CDTF">2025-10-11T10:20:16Z</dcterms:created>
  <dcterms:modified xsi:type="dcterms:W3CDTF">2026-07-11T12:42:33Z</dcterms:modified>
</cp:coreProperties>
</file>